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OneDrive\Desktop\NURU_HR_PORTFOLIO\dashboard\"/>
    </mc:Choice>
  </mc:AlternateContent>
  <bookViews>
    <workbookView xWindow="0" yWindow="0" windowWidth="15345" windowHeight="6615" firstSheet="3" activeTab="8"/>
  </bookViews>
  <sheets>
    <sheet name="Lisez-moi" sheetId="1" r:id="rId1"/>
    <sheet name="Tableau de bord" sheetId="2" r:id="rId2"/>
    <sheet name="Paramètres" sheetId="3" r:id="rId3"/>
    <sheet name="Contrats" sheetId="4" r:id="rId4"/>
    <sheet name="Collaborateurs" sheetId="5" r:id="rId5"/>
    <sheet name="Absences" sheetId="6" r:id="rId6"/>
    <sheet name="Stagiaires" sheetId="7" r:id="rId7"/>
    <sheet name="Candidatures" sheetId="8" r:id="rId8"/>
    <sheet name="Étapes recrutement" sheetId="9" r:id="rId9"/>
  </sheets>
  <definedNames>
    <definedName name="ab_cat">Absences!$D$4:$D$101</definedName>
    <definedName name="ab_mois">Absences!$M$4:$X$101</definedName>
    <definedName name="ab_perim">Absences!$K$4:$K$101</definedName>
    <definedName name="ab_statut">Absences!$H$4:$H$101</definedName>
    <definedName name="ab_total">Absences!$Y$4:$Y$101</definedName>
    <definedName name="cd_date">Candidatures!$C$4:$C$13</definedName>
    <definedName name="cl_alerte">Collaborateurs!$N$4:$N$33</definedName>
    <definedName name="cl_bur">Collaborateurs!$E$4:$E$33</definedName>
    <definedName name="cl_dep">Collaborateurs!$D$4:$D$33</definedName>
    <definedName name="cl_emb">Collaborateurs!$F$4:$F$33</definedName>
    <definedName name="cl_mat">Collaborateurs!$A$4:$A$33</definedName>
    <definedName name="cl_perim">Collaborateurs!$H$4:$H$33</definedName>
    <definedName name="cl_present">Collaborateurs!$I$4:$I$33</definedName>
    <definedName name="cl_sortie">Collaborateurs!$G$4:$G$33</definedName>
    <definedName name="cl_type">Collaborateurs!$K$4:$K$33</definedName>
    <definedName name="ct_cle">Contrats!$H$4:$H$58</definedName>
    <definedName name="ct_deb">Contrats!$E$4:$E$58</definedName>
    <definedName name="ct_fin">Contrats!$F$4:$F$58</definedName>
    <definedName name="ct_mat">Contrats!$B$4:$B$58</definedName>
    <definedName name="ct_type">Contrats!$C$4:$C$58</definedName>
    <definedName name="DateSit">'Tableau de bord'!$D$4</definedName>
    <definedName name="ev_date">'Étapes recrutement'!$F$4:$F$39</definedName>
    <definedName name="ev_etape">'Étapes recrutement'!$D$4:$D$39</definedName>
    <definedName name="ev_offre">'Étapes recrutement'!$C$4:$C$39</definedName>
    <definedName name="ev_res">'Étapes recrutement'!$G$4:$G$39</definedName>
    <definedName name="FiltreBur">'Tableau de bord'!$D$6</definedName>
    <definedName name="FiltreDep">'Tableau de bord'!$D$5</definedName>
    <definedName name="ListeBur">Paramètres!$F$4:$F$7</definedName>
    <definedName name="ListeDep">Paramètres!$E$4:$E$12</definedName>
    <definedName name="NivEchu">Paramètres!$I$4</definedName>
    <definedName name="NivPreparer">Paramètres!$I$6</definedName>
    <definedName name="NivRas">Paramètres!$I$8</definedName>
    <definedName name="NivSans">Paramètres!$I$9</definedName>
    <definedName name="NivSurveiller">Paramètres!$I$7</definedName>
    <definedName name="NivUrgent">Paramètres!$I$5</definedName>
    <definedName name="SeuilPreparer">Paramètres!$B$5</definedName>
    <definedName name="SeuilSurveiller">Paramètres!$B$6</definedName>
    <definedName name="SeuilUrgent">Paramètres!$B$4</definedName>
    <definedName name="st_perim">Stagiaires!$K$4:$K$9</definedName>
    <definedName name="st_statut">Stagiaires!$L$4:$L$9</definedName>
  </definedNames>
  <calcPr calcId="162913"/>
</workbook>
</file>

<file path=xl/calcChain.xml><?xml version="1.0" encoding="utf-8"?>
<calcChain xmlns="http://schemas.openxmlformats.org/spreadsheetml/2006/main">
  <c r="L9" i="7" l="1"/>
  <c r="M9" i="7" s="1"/>
  <c r="K9" i="7"/>
  <c r="L8" i="7"/>
  <c r="M8" i="7" s="1"/>
  <c r="K8" i="7"/>
  <c r="L7" i="7"/>
  <c r="M7" i="7" s="1"/>
  <c r="K7" i="7"/>
  <c r="L6" i="7"/>
  <c r="M6" i="7" s="1"/>
  <c r="K6" i="7"/>
  <c r="L5" i="7"/>
  <c r="M5" i="7" s="1"/>
  <c r="K5" i="7"/>
  <c r="L4" i="7"/>
  <c r="M4" i="7" s="1"/>
  <c r="K4" i="7"/>
  <c r="L101" i="6"/>
  <c r="Q101" i="6" s="1"/>
  <c r="J101" i="6"/>
  <c r="I101" i="6"/>
  <c r="V100" i="6"/>
  <c r="L100" i="6"/>
  <c r="U100" i="6" s="1"/>
  <c r="J100" i="6"/>
  <c r="I100" i="6"/>
  <c r="K100" i="6" s="1"/>
  <c r="L99" i="6"/>
  <c r="W99" i="6" s="1"/>
  <c r="J99" i="6"/>
  <c r="I99" i="6"/>
  <c r="L98" i="6"/>
  <c r="X98" i="6" s="1"/>
  <c r="J98" i="6"/>
  <c r="I98" i="6"/>
  <c r="L97" i="6"/>
  <c r="J97" i="6"/>
  <c r="I97" i="6"/>
  <c r="L96" i="6"/>
  <c r="V96" i="6" s="1"/>
  <c r="J96" i="6"/>
  <c r="I96" i="6"/>
  <c r="L95" i="6"/>
  <c r="J95" i="6"/>
  <c r="I95" i="6"/>
  <c r="S94" i="6"/>
  <c r="Q94" i="6"/>
  <c r="L94" i="6"/>
  <c r="X94" i="6" s="1"/>
  <c r="J94" i="6"/>
  <c r="I94" i="6"/>
  <c r="L93" i="6"/>
  <c r="X93" i="6" s="1"/>
  <c r="J93" i="6"/>
  <c r="I93" i="6"/>
  <c r="L92" i="6"/>
  <c r="J92" i="6"/>
  <c r="I92" i="6"/>
  <c r="L91" i="6"/>
  <c r="J91" i="6"/>
  <c r="I91" i="6"/>
  <c r="L90" i="6"/>
  <c r="S90" i="6" s="1"/>
  <c r="J90" i="6"/>
  <c r="I90" i="6"/>
  <c r="L89" i="6"/>
  <c r="J89" i="6"/>
  <c r="I89" i="6"/>
  <c r="L88" i="6"/>
  <c r="Q88" i="6" s="1"/>
  <c r="J88" i="6"/>
  <c r="I88" i="6"/>
  <c r="L87" i="6"/>
  <c r="J87" i="6"/>
  <c r="I87" i="6"/>
  <c r="L86" i="6"/>
  <c r="U86" i="6" s="1"/>
  <c r="J86" i="6"/>
  <c r="I86" i="6"/>
  <c r="L85" i="6"/>
  <c r="T85" i="6" s="1"/>
  <c r="J85" i="6"/>
  <c r="I85" i="6"/>
  <c r="L84" i="6"/>
  <c r="S84" i="6" s="1"/>
  <c r="J84" i="6"/>
  <c r="I84" i="6"/>
  <c r="L83" i="6"/>
  <c r="J83" i="6"/>
  <c r="I83" i="6"/>
  <c r="K83" i="6" s="1"/>
  <c r="L82" i="6"/>
  <c r="S82" i="6" s="1"/>
  <c r="J82" i="6"/>
  <c r="I82" i="6"/>
  <c r="K82" i="6" s="1"/>
  <c r="L81" i="6"/>
  <c r="R81" i="6" s="1"/>
  <c r="J81" i="6"/>
  <c r="I81" i="6"/>
  <c r="L80" i="6"/>
  <c r="V80" i="6" s="1"/>
  <c r="J80" i="6"/>
  <c r="I80" i="6"/>
  <c r="L79" i="6"/>
  <c r="P79" i="6" s="1"/>
  <c r="J79" i="6"/>
  <c r="I79" i="6"/>
  <c r="L78" i="6"/>
  <c r="P78" i="6" s="1"/>
  <c r="J78" i="6"/>
  <c r="I78" i="6"/>
  <c r="L77" i="6"/>
  <c r="T77" i="6" s="1"/>
  <c r="J77" i="6"/>
  <c r="I77" i="6"/>
  <c r="L76" i="6"/>
  <c r="X76" i="6" s="1"/>
  <c r="J76" i="6"/>
  <c r="I76" i="6"/>
  <c r="L75" i="6"/>
  <c r="J75" i="6"/>
  <c r="I75" i="6"/>
  <c r="L74" i="6"/>
  <c r="T74" i="6" s="1"/>
  <c r="J74" i="6"/>
  <c r="I74" i="6"/>
  <c r="L73" i="6"/>
  <c r="X73" i="6" s="1"/>
  <c r="J73" i="6"/>
  <c r="I73" i="6"/>
  <c r="L72" i="6"/>
  <c r="X72" i="6" s="1"/>
  <c r="J72" i="6"/>
  <c r="I72" i="6"/>
  <c r="L71" i="6"/>
  <c r="W71" i="6" s="1"/>
  <c r="J71" i="6"/>
  <c r="I71" i="6"/>
  <c r="L70" i="6"/>
  <c r="Q70" i="6" s="1"/>
  <c r="J70" i="6"/>
  <c r="I70" i="6"/>
  <c r="L69" i="6"/>
  <c r="T69" i="6" s="1"/>
  <c r="J69" i="6"/>
  <c r="I69" i="6"/>
  <c r="L68" i="6"/>
  <c r="O68" i="6" s="1"/>
  <c r="J68" i="6"/>
  <c r="I68" i="6"/>
  <c r="L67" i="6"/>
  <c r="J67" i="6"/>
  <c r="I67" i="6"/>
  <c r="L66" i="6"/>
  <c r="S66" i="6" s="1"/>
  <c r="J66" i="6"/>
  <c r="I66" i="6"/>
  <c r="L65" i="6"/>
  <c r="S65" i="6" s="1"/>
  <c r="J65" i="6"/>
  <c r="I65" i="6"/>
  <c r="L64" i="6"/>
  <c r="J64" i="6"/>
  <c r="I64" i="6"/>
  <c r="L63" i="6"/>
  <c r="R63" i="6" s="1"/>
  <c r="J63" i="6"/>
  <c r="I63" i="6"/>
  <c r="L62" i="6"/>
  <c r="S62" i="6" s="1"/>
  <c r="J62" i="6"/>
  <c r="I62" i="6"/>
  <c r="L61" i="6"/>
  <c r="V61" i="6" s="1"/>
  <c r="J61" i="6"/>
  <c r="I61" i="6"/>
  <c r="L60" i="6"/>
  <c r="J60" i="6"/>
  <c r="I60" i="6"/>
  <c r="L59" i="6"/>
  <c r="J59" i="6"/>
  <c r="I59" i="6"/>
  <c r="L58" i="6"/>
  <c r="X58" i="6" s="1"/>
  <c r="J58" i="6"/>
  <c r="I58" i="6"/>
  <c r="L57" i="6"/>
  <c r="X57" i="6" s="1"/>
  <c r="J57" i="6"/>
  <c r="I57" i="6"/>
  <c r="L56" i="6"/>
  <c r="U56" i="6" s="1"/>
  <c r="J56" i="6"/>
  <c r="I56" i="6"/>
  <c r="L55" i="6"/>
  <c r="R55" i="6" s="1"/>
  <c r="J55" i="6"/>
  <c r="I55" i="6"/>
  <c r="L54" i="6"/>
  <c r="V54" i="6" s="1"/>
  <c r="J54" i="6"/>
  <c r="I54" i="6"/>
  <c r="L53" i="6"/>
  <c r="V53" i="6" s="1"/>
  <c r="J53" i="6"/>
  <c r="I53" i="6"/>
  <c r="L52" i="6"/>
  <c r="T52" i="6" s="1"/>
  <c r="J52" i="6"/>
  <c r="I52" i="6"/>
  <c r="L51" i="6"/>
  <c r="U51" i="6" s="1"/>
  <c r="J51" i="6"/>
  <c r="I51" i="6"/>
  <c r="L50" i="6"/>
  <c r="X50" i="6" s="1"/>
  <c r="J50" i="6"/>
  <c r="I50" i="6"/>
  <c r="L49" i="6"/>
  <c r="T49" i="6" s="1"/>
  <c r="J49" i="6"/>
  <c r="I49" i="6"/>
  <c r="L48" i="6"/>
  <c r="Q48" i="6" s="1"/>
  <c r="J48" i="6"/>
  <c r="I48" i="6"/>
  <c r="L47" i="6"/>
  <c r="R47" i="6" s="1"/>
  <c r="J47" i="6"/>
  <c r="I47" i="6"/>
  <c r="L46" i="6"/>
  <c r="W46" i="6" s="1"/>
  <c r="J46" i="6"/>
  <c r="I46" i="6"/>
  <c r="L45" i="6"/>
  <c r="R45" i="6" s="1"/>
  <c r="J45" i="6"/>
  <c r="I45" i="6"/>
  <c r="L44" i="6"/>
  <c r="S44" i="6" s="1"/>
  <c r="J44" i="6"/>
  <c r="I44" i="6"/>
  <c r="L43" i="6"/>
  <c r="P43" i="6" s="1"/>
  <c r="J43" i="6"/>
  <c r="I43" i="6"/>
  <c r="L42" i="6"/>
  <c r="X42" i="6" s="1"/>
  <c r="J42" i="6"/>
  <c r="I42" i="6"/>
  <c r="L41" i="6"/>
  <c r="X41" i="6" s="1"/>
  <c r="J41" i="6"/>
  <c r="I41" i="6"/>
  <c r="L40" i="6"/>
  <c r="Q40" i="6" s="1"/>
  <c r="J40" i="6"/>
  <c r="I40" i="6"/>
  <c r="L39" i="6"/>
  <c r="R39" i="6" s="1"/>
  <c r="J39" i="6"/>
  <c r="I39" i="6"/>
  <c r="L38" i="6"/>
  <c r="X38" i="6" s="1"/>
  <c r="J38" i="6"/>
  <c r="I38" i="6"/>
  <c r="L37" i="6"/>
  <c r="R37" i="6" s="1"/>
  <c r="J37" i="6"/>
  <c r="I37" i="6"/>
  <c r="L36" i="6"/>
  <c r="T36" i="6" s="1"/>
  <c r="J36" i="6"/>
  <c r="I36" i="6"/>
  <c r="L35" i="6"/>
  <c r="J35" i="6"/>
  <c r="I35" i="6"/>
  <c r="L34" i="6"/>
  <c r="X34" i="6" s="1"/>
  <c r="J34" i="6"/>
  <c r="I34" i="6"/>
  <c r="L33" i="6"/>
  <c r="J33" i="6"/>
  <c r="I33" i="6"/>
  <c r="L32" i="6"/>
  <c r="J32" i="6"/>
  <c r="I32" i="6"/>
  <c r="L31" i="6"/>
  <c r="J31" i="6"/>
  <c r="I31" i="6"/>
  <c r="L30" i="6"/>
  <c r="S30" i="6" s="1"/>
  <c r="J30" i="6"/>
  <c r="I30" i="6"/>
  <c r="L29" i="6"/>
  <c r="J29" i="6"/>
  <c r="I29" i="6"/>
  <c r="L28" i="6"/>
  <c r="R28" i="6" s="1"/>
  <c r="J28" i="6"/>
  <c r="I28" i="6"/>
  <c r="L27" i="6"/>
  <c r="S27" i="6" s="1"/>
  <c r="J27" i="6"/>
  <c r="I27" i="6"/>
  <c r="L26" i="6"/>
  <c r="J26" i="6"/>
  <c r="I26" i="6"/>
  <c r="N25" i="6"/>
  <c r="L25" i="6"/>
  <c r="X25" i="6" s="1"/>
  <c r="J25" i="6"/>
  <c r="I25" i="6"/>
  <c r="L24" i="6"/>
  <c r="V24" i="6" s="1"/>
  <c r="J24" i="6"/>
  <c r="I24" i="6"/>
  <c r="L23" i="6"/>
  <c r="W23" i="6" s="1"/>
  <c r="J23" i="6"/>
  <c r="I23" i="6"/>
  <c r="L22" i="6"/>
  <c r="R22" i="6" s="1"/>
  <c r="J22" i="6"/>
  <c r="I22" i="6"/>
  <c r="L21" i="6"/>
  <c r="O21" i="6" s="1"/>
  <c r="J21" i="6"/>
  <c r="I21" i="6"/>
  <c r="L20" i="6"/>
  <c r="J20" i="6"/>
  <c r="I20" i="6"/>
  <c r="L19" i="6"/>
  <c r="J19" i="6"/>
  <c r="I19" i="6"/>
  <c r="L18" i="6"/>
  <c r="J18" i="6"/>
  <c r="I18" i="6"/>
  <c r="L17" i="6"/>
  <c r="X17" i="6" s="1"/>
  <c r="J17" i="6"/>
  <c r="I17" i="6"/>
  <c r="L16" i="6"/>
  <c r="J16" i="6"/>
  <c r="I16" i="6"/>
  <c r="L15" i="6"/>
  <c r="J15" i="6"/>
  <c r="I15" i="6"/>
  <c r="L14" i="6"/>
  <c r="J14" i="6"/>
  <c r="I14" i="6"/>
  <c r="L13" i="6"/>
  <c r="X13" i="6" s="1"/>
  <c r="J13" i="6"/>
  <c r="I13" i="6"/>
  <c r="L12" i="6"/>
  <c r="W12" i="6" s="1"/>
  <c r="J12" i="6"/>
  <c r="I12" i="6"/>
  <c r="K12" i="6" s="1"/>
  <c r="L11" i="6"/>
  <c r="X11" i="6" s="1"/>
  <c r="J11" i="6"/>
  <c r="I11" i="6"/>
  <c r="L10" i="6"/>
  <c r="J10" i="6"/>
  <c r="I10" i="6"/>
  <c r="L9" i="6"/>
  <c r="U9" i="6" s="1"/>
  <c r="J9" i="6"/>
  <c r="I9" i="6"/>
  <c r="L8" i="6"/>
  <c r="J8" i="6"/>
  <c r="I8" i="6"/>
  <c r="L7" i="6"/>
  <c r="W7" i="6" s="1"/>
  <c r="J7" i="6"/>
  <c r="I7" i="6"/>
  <c r="L6" i="6"/>
  <c r="J6" i="6"/>
  <c r="I6" i="6"/>
  <c r="L5" i="6"/>
  <c r="X5" i="6" s="1"/>
  <c r="J5" i="6"/>
  <c r="I5" i="6"/>
  <c r="L4" i="6"/>
  <c r="J4" i="6"/>
  <c r="I4" i="6"/>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J6" i="5"/>
  <c r="I6" i="5"/>
  <c r="H6" i="5"/>
  <c r="J5" i="5"/>
  <c r="I5" i="5"/>
  <c r="H5" i="5"/>
  <c r="J4" i="5"/>
  <c r="I4" i="5"/>
  <c r="H4" i="5"/>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D66" i="2"/>
  <c r="C66" i="2"/>
  <c r="D65" i="2"/>
  <c r="C65" i="2"/>
  <c r="D64" i="2"/>
  <c r="C64" i="2"/>
  <c r="D63" i="2"/>
  <c r="C63" i="2"/>
  <c r="D62" i="2"/>
  <c r="C62" i="2"/>
  <c r="D61" i="2"/>
  <c r="C61" i="2"/>
  <c r="D60" i="2"/>
  <c r="C60" i="2"/>
  <c r="D59" i="2"/>
  <c r="C59" i="2"/>
  <c r="G53" i="2"/>
  <c r="G52" i="2"/>
  <c r="G51" i="2"/>
  <c r="B45" i="2"/>
  <c r="F45" i="2" s="1"/>
  <c r="B44" i="2"/>
  <c r="F44" i="2" s="1"/>
  <c r="B43" i="2"/>
  <c r="B42" i="2"/>
  <c r="B41" i="2"/>
  <c r="B40" i="2"/>
  <c r="B39" i="2"/>
  <c r="B38" i="2"/>
  <c r="B37" i="2"/>
  <c r="B36" i="2"/>
  <c r="B35" i="2"/>
  <c r="B34" i="2"/>
  <c r="G28" i="2"/>
  <c r="G27" i="2"/>
  <c r="G26" i="2"/>
  <c r="G25" i="2"/>
  <c r="G24" i="2"/>
  <c r="G23" i="2"/>
  <c r="H17" i="2"/>
  <c r="S13" i="6" l="1"/>
  <c r="K22" i="6"/>
  <c r="M25" i="6"/>
  <c r="K28" i="6"/>
  <c r="Q36" i="6"/>
  <c r="W37" i="6"/>
  <c r="M38" i="6"/>
  <c r="T55" i="6"/>
  <c r="S72" i="6"/>
  <c r="K4" i="6"/>
  <c r="K11" i="6"/>
  <c r="O25" i="6"/>
  <c r="O27" i="6"/>
  <c r="W25" i="6"/>
  <c r="U27" i="6"/>
  <c r="K92" i="6"/>
  <c r="S17" i="6"/>
  <c r="O42" i="6"/>
  <c r="X44" i="6"/>
  <c r="S49" i="6"/>
  <c r="O50" i="6"/>
  <c r="O52" i="6"/>
  <c r="O76" i="6"/>
  <c r="O5" i="6"/>
  <c r="N17" i="6"/>
  <c r="K40" i="6"/>
  <c r="N42" i="6"/>
  <c r="Q46" i="6"/>
  <c r="M47" i="6"/>
  <c r="P48" i="6"/>
  <c r="N49" i="6"/>
  <c r="M63" i="6"/>
  <c r="M76" i="6"/>
  <c r="X79" i="6"/>
  <c r="M80" i="6"/>
  <c r="N85" i="6"/>
  <c r="M13" i="6"/>
  <c r="R21" i="6"/>
  <c r="U25" i="6"/>
  <c r="M27" i="6"/>
  <c r="M36" i="6"/>
  <c r="S42" i="6"/>
  <c r="K44" i="6"/>
  <c r="W50" i="6"/>
  <c r="T70" i="6"/>
  <c r="M72" i="6"/>
  <c r="U76" i="6"/>
  <c r="K79" i="6"/>
  <c r="U88" i="6"/>
  <c r="K90" i="6"/>
  <c r="N93" i="6"/>
  <c r="M94" i="6"/>
  <c r="K95" i="6"/>
  <c r="L23" i="5"/>
  <c r="K5" i="6"/>
  <c r="S5" i="6"/>
  <c r="K13" i="6"/>
  <c r="N13" i="6"/>
  <c r="O17" i="6"/>
  <c r="K20" i="6"/>
  <c r="W21" i="6"/>
  <c r="M22" i="6"/>
  <c r="S25" i="6"/>
  <c r="X27" i="6"/>
  <c r="W34" i="6"/>
  <c r="K36" i="6"/>
  <c r="O36" i="6"/>
  <c r="K38" i="6"/>
  <c r="R38" i="6"/>
  <c r="K41" i="6"/>
  <c r="K45" i="6"/>
  <c r="K47" i="6"/>
  <c r="K48" i="6"/>
  <c r="O49" i="6"/>
  <c r="K54" i="6"/>
  <c r="M58" i="6"/>
  <c r="K63" i="6"/>
  <c r="N63" i="6"/>
  <c r="U68" i="6"/>
  <c r="K71" i="6"/>
  <c r="N72" i="6"/>
  <c r="K76" i="6"/>
  <c r="N76" i="6"/>
  <c r="W76" i="6"/>
  <c r="N80" i="6"/>
  <c r="V81" i="6"/>
  <c r="M82" i="6"/>
  <c r="X82" i="6"/>
  <c r="M90" i="6"/>
  <c r="K91" i="6"/>
  <c r="T98" i="6"/>
  <c r="X22" i="6"/>
  <c r="U58" i="6"/>
  <c r="U82" i="6"/>
  <c r="X90" i="6"/>
  <c r="N22" i="6"/>
  <c r="N58" i="6"/>
  <c r="O82" i="6"/>
  <c r="O90" i="6"/>
  <c r="N5" i="6"/>
  <c r="U13" i="6"/>
  <c r="U22" i="6"/>
  <c r="X36" i="6"/>
  <c r="O37" i="6"/>
  <c r="M44" i="6"/>
  <c r="N46" i="6"/>
  <c r="M52" i="6"/>
  <c r="K56" i="6"/>
  <c r="K57" i="6"/>
  <c r="S58" i="6"/>
  <c r="K64" i="6"/>
  <c r="U72" i="6"/>
  <c r="K75" i="6"/>
  <c r="S76" i="6"/>
  <c r="K78" i="6"/>
  <c r="P82" i="6"/>
  <c r="M85" i="6"/>
  <c r="P90" i="6"/>
  <c r="K94" i="6"/>
  <c r="T6" i="6"/>
  <c r="P6" i="6"/>
  <c r="N6" i="6"/>
  <c r="R14" i="6"/>
  <c r="X14" i="6"/>
  <c r="N14" i="6"/>
  <c r="U14" i="6"/>
  <c r="M14" i="6"/>
  <c r="X19" i="6"/>
  <c r="T19" i="6"/>
  <c r="M19" i="6"/>
  <c r="X29" i="6"/>
  <c r="R29" i="6"/>
  <c r="N29" i="6"/>
  <c r="W33" i="6"/>
  <c r="X33" i="6"/>
  <c r="R33" i="6"/>
  <c r="S67" i="6"/>
  <c r="R67" i="6"/>
  <c r="U6" i="6"/>
  <c r="Q18" i="6"/>
  <c r="V18" i="6"/>
  <c r="M29" i="6"/>
  <c r="U32" i="6"/>
  <c r="O32" i="6"/>
  <c r="S60" i="6"/>
  <c r="T60" i="6"/>
  <c r="X87" i="6"/>
  <c r="T87" i="6"/>
  <c r="O87" i="6"/>
  <c r="N87" i="6"/>
  <c r="X8" i="6"/>
  <c r="T8" i="6"/>
  <c r="X9" i="6"/>
  <c r="O9" i="6"/>
  <c r="N9" i="6"/>
  <c r="T11" i="6"/>
  <c r="U11" i="6"/>
  <c r="P11" i="6"/>
  <c r="P14" i="6"/>
  <c r="X6" i="6"/>
  <c r="N8" i="6"/>
  <c r="S9" i="6"/>
  <c r="O11" i="6"/>
  <c r="T14" i="6"/>
  <c r="X21" i="6"/>
  <c r="U21" i="6"/>
  <c r="N21" i="6"/>
  <c r="S21" i="6"/>
  <c r="M21" i="6"/>
  <c r="S29" i="6"/>
  <c r="X30" i="6"/>
  <c r="R30" i="6"/>
  <c r="N30" i="6"/>
  <c r="W30" i="6"/>
  <c r="M30" i="6"/>
  <c r="T31" i="6"/>
  <c r="M31" i="6"/>
  <c r="V71" i="6"/>
  <c r="R71" i="6"/>
  <c r="P71" i="6"/>
  <c r="O71" i="6"/>
  <c r="V87" i="6"/>
  <c r="X92" i="6"/>
  <c r="W92" i="6"/>
  <c r="R92" i="6"/>
  <c r="M92" i="6"/>
  <c r="X16" i="6"/>
  <c r="T16" i="6"/>
  <c r="N16" i="6"/>
  <c r="K25" i="6"/>
  <c r="W29" i="6"/>
  <c r="T57" i="6"/>
  <c r="S57" i="6"/>
  <c r="O57" i="6"/>
  <c r="N57" i="6"/>
  <c r="W75" i="6"/>
  <c r="T75" i="6"/>
  <c r="O75" i="6"/>
  <c r="N75" i="6"/>
  <c r="R77" i="6"/>
  <c r="P77" i="6"/>
  <c r="X77" i="6"/>
  <c r="N77" i="6"/>
  <c r="U77" i="6"/>
  <c r="M77" i="6"/>
  <c r="R83" i="6"/>
  <c r="V83" i="6"/>
  <c r="S91" i="6"/>
  <c r="V91" i="6"/>
  <c r="X95" i="6"/>
  <c r="T95" i="6"/>
  <c r="P95" i="6"/>
  <c r="V68" i="6"/>
  <c r="K49" i="6"/>
  <c r="R50" i="6"/>
  <c r="L4" i="5"/>
  <c r="N4" i="5" s="1"/>
  <c r="U5" i="6"/>
  <c r="K7" i="6"/>
  <c r="O13" i="6"/>
  <c r="W13" i="6"/>
  <c r="U17" i="6"/>
  <c r="P22" i="6"/>
  <c r="K24" i="6"/>
  <c r="R25" i="6"/>
  <c r="K27" i="6"/>
  <c r="P27" i="6"/>
  <c r="K29" i="6"/>
  <c r="K31" i="6"/>
  <c r="K32" i="6"/>
  <c r="M34" i="6"/>
  <c r="W36" i="6"/>
  <c r="W38" i="6"/>
  <c r="O41" i="6"/>
  <c r="U42" i="6"/>
  <c r="Q43" i="6"/>
  <c r="K46" i="6"/>
  <c r="V46" i="6"/>
  <c r="X49" i="6"/>
  <c r="M50" i="6"/>
  <c r="S50" i="6"/>
  <c r="S52" i="6"/>
  <c r="Q54" i="6"/>
  <c r="N55" i="6"/>
  <c r="O58" i="6"/>
  <c r="W58" i="6"/>
  <c r="K61" i="6"/>
  <c r="T63" i="6"/>
  <c r="T65" i="6"/>
  <c r="M68" i="6"/>
  <c r="O72" i="6"/>
  <c r="W72" i="6"/>
  <c r="R76" i="6"/>
  <c r="K77" i="6"/>
  <c r="O79" i="6"/>
  <c r="S80" i="6"/>
  <c r="T82" i="6"/>
  <c r="K87" i="6"/>
  <c r="T90" i="6"/>
  <c r="Q96" i="6"/>
  <c r="O98" i="6"/>
  <c r="K99" i="6"/>
  <c r="R13" i="6"/>
  <c r="K14" i="6"/>
  <c r="K19" i="6"/>
  <c r="K21" i="6"/>
  <c r="T22" i="6"/>
  <c r="T27" i="6"/>
  <c r="K34" i="6"/>
  <c r="R34" i="6"/>
  <c r="K39" i="6"/>
  <c r="S41" i="6"/>
  <c r="U43" i="6"/>
  <c r="K50" i="6"/>
  <c r="N50" i="6"/>
  <c r="U50" i="6"/>
  <c r="X52" i="6"/>
  <c r="K55" i="6"/>
  <c r="R58" i="6"/>
  <c r="K66" i="6"/>
  <c r="R72" i="6"/>
  <c r="K73" i="6"/>
  <c r="K74" i="6"/>
  <c r="U90" i="6"/>
  <c r="K98" i="6"/>
  <c r="P98" i="6"/>
  <c r="N100" i="6"/>
  <c r="L29" i="5"/>
  <c r="M29" i="5" s="1"/>
  <c r="N29" i="5" s="1"/>
  <c r="K4" i="5"/>
  <c r="E44" i="2"/>
  <c r="E45" i="2"/>
  <c r="L13" i="5"/>
  <c r="M13" i="5" s="1"/>
  <c r="L21" i="5"/>
  <c r="N21" i="5" s="1"/>
  <c r="S24" i="6"/>
  <c r="R89" i="6"/>
  <c r="U89" i="6"/>
  <c r="H44" i="2"/>
  <c r="I44" i="2" s="1"/>
  <c r="L5" i="5"/>
  <c r="N5" i="5" s="1"/>
  <c r="K8" i="5"/>
  <c r="D44" i="2"/>
  <c r="K6" i="6"/>
  <c r="S8" i="6"/>
  <c r="K9" i="6"/>
  <c r="S16" i="6"/>
  <c r="K17" i="6"/>
  <c r="S19" i="6"/>
  <c r="P24" i="6"/>
  <c r="X24" i="6"/>
  <c r="W28" i="6"/>
  <c r="Q29" i="6"/>
  <c r="V29" i="6"/>
  <c r="Q30" i="6"/>
  <c r="V30" i="6"/>
  <c r="V31" i="6"/>
  <c r="W32" i="6"/>
  <c r="Q34" i="6"/>
  <c r="V34" i="6"/>
  <c r="V37" i="6"/>
  <c r="Q38" i="6"/>
  <c r="V38" i="6"/>
  <c r="K42" i="6"/>
  <c r="T44" i="6"/>
  <c r="X47" i="6"/>
  <c r="K52" i="6"/>
  <c r="O54" i="6"/>
  <c r="K60" i="6"/>
  <c r="Q62" i="6"/>
  <c r="W62" i="6"/>
  <c r="O65" i="6"/>
  <c r="Q66" i="6"/>
  <c r="W66" i="6"/>
  <c r="X68" i="6"/>
  <c r="S68" i="6"/>
  <c r="N68" i="6"/>
  <c r="R68" i="6"/>
  <c r="X78" i="6"/>
  <c r="T79" i="6"/>
  <c r="N79" i="6"/>
  <c r="V79" i="6"/>
  <c r="X80" i="6"/>
  <c r="U80" i="6"/>
  <c r="O80" i="6"/>
  <c r="R80" i="6"/>
  <c r="P81" i="6"/>
  <c r="Q84" i="6"/>
  <c r="W84" i="6"/>
  <c r="X97" i="6"/>
  <c r="V97" i="6"/>
  <c r="K32" i="5"/>
  <c r="C26" i="2" s="1"/>
  <c r="Q5" i="6"/>
  <c r="V5" i="6"/>
  <c r="R6" i="6"/>
  <c r="O8" i="6"/>
  <c r="V8" i="6"/>
  <c r="Q9" i="6"/>
  <c r="V9" i="6"/>
  <c r="S11" i="6"/>
  <c r="R12" i="6"/>
  <c r="O16" i="6"/>
  <c r="V16" i="6"/>
  <c r="Q17" i="6"/>
  <c r="V17" i="6"/>
  <c r="O19" i="6"/>
  <c r="U19" i="6"/>
  <c r="N24" i="6"/>
  <c r="T24" i="6"/>
  <c r="N31" i="6"/>
  <c r="P32" i="6"/>
  <c r="K33" i="6"/>
  <c r="N34" i="6"/>
  <c r="S34" i="6"/>
  <c r="P37" i="6"/>
  <c r="N38" i="6"/>
  <c r="S38" i="6"/>
  <c r="P40" i="6"/>
  <c r="T41" i="6"/>
  <c r="Q42" i="6"/>
  <c r="V42" i="6"/>
  <c r="O44" i="6"/>
  <c r="P45" i="6"/>
  <c r="X46" i="6"/>
  <c r="U46" i="6"/>
  <c r="O46" i="6"/>
  <c r="R46" i="6"/>
  <c r="N47" i="6"/>
  <c r="U48" i="6"/>
  <c r="P53" i="6"/>
  <c r="X54" i="6"/>
  <c r="W54" i="6"/>
  <c r="R54" i="6"/>
  <c r="M54" i="6"/>
  <c r="S54" i="6"/>
  <c r="X60" i="6"/>
  <c r="M60" i="6"/>
  <c r="M62" i="6"/>
  <c r="X65" i="6"/>
  <c r="M66" i="6"/>
  <c r="X70" i="6"/>
  <c r="O70" i="6"/>
  <c r="W70" i="6"/>
  <c r="Q78" i="6"/>
  <c r="W83" i="6"/>
  <c r="N83" i="6"/>
  <c r="X83" i="6"/>
  <c r="M84" i="6"/>
  <c r="W86" i="6"/>
  <c r="M86" i="6"/>
  <c r="X86" i="6"/>
  <c r="P86" i="6"/>
  <c r="X88" i="6"/>
  <c r="W88" i="6"/>
  <c r="R88" i="6"/>
  <c r="M88" i="6"/>
  <c r="S88" i="6"/>
  <c r="N88" i="6"/>
  <c r="V88" i="6"/>
  <c r="L9" i="5"/>
  <c r="N9" i="5" s="1"/>
  <c r="X62" i="6"/>
  <c r="U62" i="6"/>
  <c r="O62" i="6"/>
  <c r="R62" i="6"/>
  <c r="X66" i="6"/>
  <c r="U66" i="6"/>
  <c r="O66" i="6"/>
  <c r="R66" i="6"/>
  <c r="X84" i="6"/>
  <c r="U84" i="6"/>
  <c r="O84" i="6"/>
  <c r="R84" i="6"/>
  <c r="X101" i="6"/>
  <c r="S101" i="6"/>
  <c r="N101" i="6"/>
  <c r="W101" i="6"/>
  <c r="R101" i="6"/>
  <c r="M101" i="6"/>
  <c r="U101" i="6"/>
  <c r="O101" i="6"/>
  <c r="K12" i="5"/>
  <c r="L17" i="5"/>
  <c r="N17" i="5" s="1"/>
  <c r="K20" i="5"/>
  <c r="K24" i="5"/>
  <c r="C44" i="2"/>
  <c r="L7" i="5"/>
  <c r="M7" i="5" s="1"/>
  <c r="N7" i="5" s="1"/>
  <c r="L11" i="5"/>
  <c r="M11" i="5" s="1"/>
  <c r="K16" i="5"/>
  <c r="L19" i="5"/>
  <c r="M19" i="5" s="1"/>
  <c r="N19" i="5" s="1"/>
  <c r="K28" i="5"/>
  <c r="M5" i="6"/>
  <c r="R5" i="6"/>
  <c r="W5" i="6"/>
  <c r="M6" i="6"/>
  <c r="K8" i="6"/>
  <c r="P8" i="6"/>
  <c r="M9" i="6"/>
  <c r="R9" i="6"/>
  <c r="W9" i="6"/>
  <c r="M11" i="6"/>
  <c r="Q13" i="6"/>
  <c r="V13" i="6"/>
  <c r="K15" i="6"/>
  <c r="K16" i="6"/>
  <c r="P16" i="6"/>
  <c r="M17" i="6"/>
  <c r="R17" i="6"/>
  <c r="W17" i="6"/>
  <c r="P19" i="6"/>
  <c r="Q21" i="6"/>
  <c r="V21" i="6"/>
  <c r="K23" i="6"/>
  <c r="O24" i="6"/>
  <c r="Q25" i="6"/>
  <c r="V25" i="6"/>
  <c r="O29" i="6"/>
  <c r="U29" i="6"/>
  <c r="K30" i="6"/>
  <c r="O30" i="6"/>
  <c r="U30" i="6"/>
  <c r="O34" i="6"/>
  <c r="U34" i="6"/>
  <c r="K37" i="6"/>
  <c r="O38" i="6"/>
  <c r="U38" i="6"/>
  <c r="N41" i="6"/>
  <c r="M42" i="6"/>
  <c r="R42" i="6"/>
  <c r="W42" i="6"/>
  <c r="M46" i="6"/>
  <c r="S46" i="6"/>
  <c r="T47" i="6"/>
  <c r="K53" i="6"/>
  <c r="R53" i="6"/>
  <c r="N54" i="6"/>
  <c r="U54" i="6"/>
  <c r="X55" i="6"/>
  <c r="M55" i="6"/>
  <c r="K58" i="6"/>
  <c r="O60" i="6"/>
  <c r="K62" i="6"/>
  <c r="N62" i="6"/>
  <c r="V62" i="6"/>
  <c r="X63" i="6"/>
  <c r="N65" i="6"/>
  <c r="N66" i="6"/>
  <c r="V66" i="6"/>
  <c r="Q68" i="6"/>
  <c r="W68" i="6"/>
  <c r="U69" i="6"/>
  <c r="M70" i="6"/>
  <c r="K72" i="6"/>
  <c r="S78" i="6"/>
  <c r="S79" i="6"/>
  <c r="Q80" i="6"/>
  <c r="W80" i="6"/>
  <c r="M81" i="6"/>
  <c r="P83" i="6"/>
  <c r="K84" i="6"/>
  <c r="N84" i="6"/>
  <c r="V84" i="6"/>
  <c r="X85" i="6"/>
  <c r="P85" i="6"/>
  <c r="R85" i="6"/>
  <c r="U85" i="6"/>
  <c r="Q86" i="6"/>
  <c r="O88" i="6"/>
  <c r="X96" i="6"/>
  <c r="S96" i="6"/>
  <c r="N96" i="6"/>
  <c r="W96" i="6"/>
  <c r="R96" i="6"/>
  <c r="M96" i="6"/>
  <c r="U96" i="6"/>
  <c r="O96" i="6"/>
  <c r="V101" i="6"/>
  <c r="K86" i="6"/>
  <c r="S87" i="6"/>
  <c r="K88" i="6"/>
  <c r="Q92" i="6"/>
  <c r="V92" i="6"/>
  <c r="U93" i="6"/>
  <c r="X99" i="6"/>
  <c r="S100" i="6"/>
  <c r="N92" i="6"/>
  <c r="S92" i="6"/>
  <c r="P93" i="6"/>
  <c r="V95" i="6"/>
  <c r="O100" i="6"/>
  <c r="W100" i="6"/>
  <c r="Q50" i="6"/>
  <c r="V50" i="6"/>
  <c r="Q58" i="6"/>
  <c r="V58" i="6"/>
  <c r="K65" i="6"/>
  <c r="K68" i="6"/>
  <c r="K70" i="6"/>
  <c r="Q72" i="6"/>
  <c r="V72" i="6"/>
  <c r="Q76" i="6"/>
  <c r="V76" i="6"/>
  <c r="P87" i="6"/>
  <c r="O92" i="6"/>
  <c r="U92" i="6"/>
  <c r="T93" i="6"/>
  <c r="O95" i="6"/>
  <c r="K97" i="6"/>
  <c r="U98" i="6"/>
  <c r="R100" i="6"/>
  <c r="K101" i="6"/>
  <c r="N7" i="7"/>
  <c r="E43" i="2"/>
  <c r="F37" i="2"/>
  <c r="H37" i="2" s="1"/>
  <c r="F41" i="2"/>
  <c r="H41" i="2" s="1"/>
  <c r="F36" i="2"/>
  <c r="H36" i="2" s="1"/>
  <c r="F40" i="2"/>
  <c r="H40" i="2" s="1"/>
  <c r="I52" i="2"/>
  <c r="F34" i="2"/>
  <c r="H34" i="2" s="1"/>
  <c r="C38" i="2"/>
  <c r="C42" i="2"/>
  <c r="F35" i="2"/>
  <c r="H35" i="2" s="1"/>
  <c r="C45" i="2"/>
  <c r="H45" i="2"/>
  <c r="I45" i="2" s="1"/>
  <c r="M4" i="5"/>
  <c r="C41" i="2"/>
  <c r="G44" i="2"/>
  <c r="D45" i="2"/>
  <c r="L15" i="5"/>
  <c r="N15" i="5" s="1"/>
  <c r="L25" i="5"/>
  <c r="K31" i="5"/>
  <c r="N4" i="7"/>
  <c r="N8" i="7"/>
  <c r="C34" i="2"/>
  <c r="C37" i="2"/>
  <c r="K27" i="5"/>
  <c r="N6" i="7"/>
  <c r="G45" i="2"/>
  <c r="K23" i="5"/>
  <c r="N5" i="7"/>
  <c r="N9" i="7"/>
  <c r="V15" i="6"/>
  <c r="R15" i="6"/>
  <c r="N15" i="6"/>
  <c r="T15" i="6"/>
  <c r="O15" i="6"/>
  <c r="X15" i="6"/>
  <c r="S15" i="6"/>
  <c r="M15" i="6"/>
  <c r="U15" i="6"/>
  <c r="P15" i="6"/>
  <c r="D43" i="2"/>
  <c r="D38" i="2"/>
  <c r="D42" i="2"/>
  <c r="D41" i="2"/>
  <c r="D40" i="2"/>
  <c r="D39" i="2"/>
  <c r="D37" i="2"/>
  <c r="D36" i="2"/>
  <c r="U4" i="6"/>
  <c r="Q4" i="6"/>
  <c r="M4" i="6"/>
  <c r="T4" i="6"/>
  <c r="O4" i="6"/>
  <c r="S4" i="6"/>
  <c r="V4" i="6"/>
  <c r="P4" i="6"/>
  <c r="X4" i="6"/>
  <c r="N4" i="6"/>
  <c r="W10" i="6"/>
  <c r="S10" i="6"/>
  <c r="O10" i="6"/>
  <c r="T10" i="6"/>
  <c r="N10" i="6"/>
  <c r="U10" i="6"/>
  <c r="P10" i="6"/>
  <c r="X10" i="6"/>
  <c r="R10" i="6"/>
  <c r="M10" i="6"/>
  <c r="Q15" i="6"/>
  <c r="U20" i="6"/>
  <c r="Q20" i="6"/>
  <c r="M20" i="6"/>
  <c r="T20" i="6"/>
  <c r="O20" i="6"/>
  <c r="X20" i="6"/>
  <c r="S20" i="6"/>
  <c r="N20" i="6"/>
  <c r="V20" i="6"/>
  <c r="P20" i="6"/>
  <c r="W26" i="6"/>
  <c r="S26" i="6"/>
  <c r="O26" i="6"/>
  <c r="T26" i="6"/>
  <c r="N26" i="6"/>
  <c r="X26" i="6"/>
  <c r="R26" i="6"/>
  <c r="M26" i="6"/>
  <c r="U26" i="6"/>
  <c r="P26" i="6"/>
  <c r="W59" i="6"/>
  <c r="S59" i="6"/>
  <c r="O59" i="6"/>
  <c r="X59" i="6"/>
  <c r="R59" i="6"/>
  <c r="M59" i="6"/>
  <c r="T59" i="6"/>
  <c r="N59" i="6"/>
  <c r="Q59" i="6"/>
  <c r="P59" i="6"/>
  <c r="U59" i="6"/>
  <c r="V64" i="6"/>
  <c r="R64" i="6"/>
  <c r="N64" i="6"/>
  <c r="X64" i="6"/>
  <c r="S64" i="6"/>
  <c r="M64" i="6"/>
  <c r="T64" i="6"/>
  <c r="O64" i="6"/>
  <c r="Q64" i="6"/>
  <c r="U64" i="6"/>
  <c r="P64" i="6"/>
  <c r="B9" i="2"/>
  <c r="D34" i="2"/>
  <c r="C35" i="2"/>
  <c r="C36" i="2"/>
  <c r="F39" i="2"/>
  <c r="H39" i="2" s="1"/>
  <c r="C40" i="2"/>
  <c r="F43" i="2"/>
  <c r="H43" i="2" s="1"/>
  <c r="K6" i="5"/>
  <c r="L6" i="5"/>
  <c r="M6" i="5" s="1"/>
  <c r="K10" i="5"/>
  <c r="L10" i="5"/>
  <c r="M10" i="5" s="1"/>
  <c r="K14" i="5"/>
  <c r="L14" i="5"/>
  <c r="M14" i="5" s="1"/>
  <c r="K18" i="5"/>
  <c r="L18" i="5"/>
  <c r="M18" i="5" s="1"/>
  <c r="K22" i="5"/>
  <c r="L22" i="5"/>
  <c r="M22" i="5" s="1"/>
  <c r="R4" i="6"/>
  <c r="V7" i="6"/>
  <c r="R7" i="6"/>
  <c r="N7" i="6"/>
  <c r="T7" i="6"/>
  <c r="O7" i="6"/>
  <c r="X7" i="6"/>
  <c r="S7" i="6"/>
  <c r="M7" i="6"/>
  <c r="U7" i="6"/>
  <c r="P7" i="6"/>
  <c r="Q10" i="6"/>
  <c r="W15" i="6"/>
  <c r="R20" i="6"/>
  <c r="V23" i="6"/>
  <c r="R23" i="6"/>
  <c r="N23" i="6"/>
  <c r="T23" i="6"/>
  <c r="O23" i="6"/>
  <c r="U23" i="6"/>
  <c r="P23" i="6"/>
  <c r="X23" i="6"/>
  <c r="S23" i="6"/>
  <c r="M23" i="6"/>
  <c r="Q26" i="6"/>
  <c r="W35" i="6"/>
  <c r="S35" i="6"/>
  <c r="O35" i="6"/>
  <c r="X35" i="6"/>
  <c r="R35" i="6"/>
  <c r="M35" i="6"/>
  <c r="V35" i="6"/>
  <c r="P35" i="6"/>
  <c r="Q35" i="6"/>
  <c r="U35" i="6"/>
  <c r="N35" i="6"/>
  <c r="V59" i="6"/>
  <c r="W64" i="6"/>
  <c r="F13" i="2"/>
  <c r="D35" i="2"/>
  <c r="F38" i="2"/>
  <c r="H38" i="2" s="1"/>
  <c r="C39" i="2"/>
  <c r="F42" i="2"/>
  <c r="H42" i="2" s="1"/>
  <c r="C43" i="2"/>
  <c r="I51" i="2"/>
  <c r="I53" i="2"/>
  <c r="L28" i="5"/>
  <c r="L16" i="5"/>
  <c r="N16" i="5" s="1"/>
  <c r="L8" i="5"/>
  <c r="N8" i="5" s="1"/>
  <c r="L32" i="5"/>
  <c r="M32" i="5" s="1"/>
  <c r="L24" i="5"/>
  <c r="M24" i="5" s="1"/>
  <c r="L20" i="5"/>
  <c r="N20" i="5" s="1"/>
  <c r="L12" i="5"/>
  <c r="M12" i="5" s="1"/>
  <c r="K7" i="5"/>
  <c r="K11" i="5"/>
  <c r="K15" i="5"/>
  <c r="K19" i="5"/>
  <c r="K26" i="5"/>
  <c r="L26" i="5"/>
  <c r="M26" i="5" s="1"/>
  <c r="L27" i="5"/>
  <c r="N27" i="5" s="1"/>
  <c r="K30" i="5"/>
  <c r="L30" i="5"/>
  <c r="M30" i="5" s="1"/>
  <c r="N30" i="5"/>
  <c r="L31" i="5"/>
  <c r="M31" i="5" s="1"/>
  <c r="K33" i="5"/>
  <c r="C30" i="2" s="1"/>
  <c r="L33" i="5"/>
  <c r="N33" i="5" s="1"/>
  <c r="W4" i="6"/>
  <c r="Q7" i="6"/>
  <c r="V10" i="6"/>
  <c r="U12" i="6"/>
  <c r="Q12" i="6"/>
  <c r="M12" i="6"/>
  <c r="T12" i="6"/>
  <c r="O12" i="6"/>
  <c r="X12" i="6"/>
  <c r="S12" i="6"/>
  <c r="N12" i="6"/>
  <c r="V12" i="6"/>
  <c r="P12" i="6"/>
  <c r="W18" i="6"/>
  <c r="S18" i="6"/>
  <c r="O18" i="6"/>
  <c r="T18" i="6"/>
  <c r="N18" i="6"/>
  <c r="U18" i="6"/>
  <c r="P18" i="6"/>
  <c r="X18" i="6"/>
  <c r="R18" i="6"/>
  <c r="M18" i="6"/>
  <c r="W20" i="6"/>
  <c r="Q23" i="6"/>
  <c r="V26" i="6"/>
  <c r="U28" i="6"/>
  <c r="Q28" i="6"/>
  <c r="M28" i="6"/>
  <c r="T28" i="6"/>
  <c r="O28" i="6"/>
  <c r="V28" i="6"/>
  <c r="P28" i="6"/>
  <c r="X28" i="6"/>
  <c r="S28" i="6"/>
  <c r="N28" i="6"/>
  <c r="T35" i="6"/>
  <c r="W39" i="6"/>
  <c r="S39" i="6"/>
  <c r="O39" i="6"/>
  <c r="U39" i="6"/>
  <c r="P39" i="6"/>
  <c r="V39" i="6"/>
  <c r="Q39" i="6"/>
  <c r="T39" i="6"/>
  <c r="W51" i="6"/>
  <c r="S51" i="6"/>
  <c r="O51" i="6"/>
  <c r="X51" i="6"/>
  <c r="R51" i="6"/>
  <c r="M51" i="6"/>
  <c r="T51" i="6"/>
  <c r="N51" i="6"/>
  <c r="V51" i="6"/>
  <c r="V56" i="6"/>
  <c r="R56" i="6"/>
  <c r="N56" i="6"/>
  <c r="X56" i="6"/>
  <c r="S56" i="6"/>
  <c r="M56" i="6"/>
  <c r="T56" i="6"/>
  <c r="O56" i="6"/>
  <c r="W56" i="6"/>
  <c r="U61" i="6"/>
  <c r="Q61" i="6"/>
  <c r="M61" i="6"/>
  <c r="X61" i="6"/>
  <c r="S61" i="6"/>
  <c r="N61" i="6"/>
  <c r="T61" i="6"/>
  <c r="O61" i="6"/>
  <c r="W61" i="6"/>
  <c r="W73" i="6"/>
  <c r="S73" i="6"/>
  <c r="O73" i="6"/>
  <c r="U73" i="6"/>
  <c r="P73" i="6"/>
  <c r="T73" i="6"/>
  <c r="M73" i="6"/>
  <c r="V73" i="6"/>
  <c r="N73" i="6"/>
  <c r="K5" i="5"/>
  <c r="K9" i="5"/>
  <c r="K13" i="5"/>
  <c r="K17" i="5"/>
  <c r="K21" i="5"/>
  <c r="M23" i="5"/>
  <c r="N23" i="5" s="1"/>
  <c r="K25" i="5"/>
  <c r="K29" i="5"/>
  <c r="W31" i="6"/>
  <c r="S31" i="6"/>
  <c r="O31" i="6"/>
  <c r="U31" i="6"/>
  <c r="P31" i="6"/>
  <c r="R31" i="6"/>
  <c r="V32" i="6"/>
  <c r="R32" i="6"/>
  <c r="N32" i="6"/>
  <c r="X32" i="6"/>
  <c r="S32" i="6"/>
  <c r="M32" i="6"/>
  <c r="T32" i="6"/>
  <c r="O33" i="6"/>
  <c r="N39" i="6"/>
  <c r="V40" i="6"/>
  <c r="R40" i="6"/>
  <c r="N40" i="6"/>
  <c r="X40" i="6"/>
  <c r="S40" i="6"/>
  <c r="M40" i="6"/>
  <c r="T40" i="6"/>
  <c r="O40" i="6"/>
  <c r="W40" i="6"/>
  <c r="U45" i="6"/>
  <c r="Q45" i="6"/>
  <c r="M45" i="6"/>
  <c r="X45" i="6"/>
  <c r="S45" i="6"/>
  <c r="N45" i="6"/>
  <c r="T45" i="6"/>
  <c r="O45" i="6"/>
  <c r="W45" i="6"/>
  <c r="Q51" i="6"/>
  <c r="Q56" i="6"/>
  <c r="R61" i="6"/>
  <c r="U67" i="6"/>
  <c r="Q67" i="6"/>
  <c r="M67" i="6"/>
  <c r="V67" i="6"/>
  <c r="P67" i="6"/>
  <c r="T67" i="6"/>
  <c r="N67" i="6"/>
  <c r="W67" i="6"/>
  <c r="O67" i="6"/>
  <c r="R73" i="6"/>
  <c r="U91" i="6"/>
  <c r="Q91" i="6"/>
  <c r="M91" i="6"/>
  <c r="T91" i="6"/>
  <c r="O91" i="6"/>
  <c r="X91" i="6"/>
  <c r="R91" i="6"/>
  <c r="W91" i="6"/>
  <c r="N91" i="6"/>
  <c r="P91" i="6"/>
  <c r="K93" i="6"/>
  <c r="U99" i="6"/>
  <c r="Q99" i="6"/>
  <c r="M99" i="6"/>
  <c r="T99" i="6"/>
  <c r="O99" i="6"/>
  <c r="V99" i="6"/>
  <c r="P99" i="6"/>
  <c r="R99" i="6"/>
  <c r="N99" i="6"/>
  <c r="S99" i="6"/>
  <c r="U33" i="6"/>
  <c r="Q33" i="6"/>
  <c r="M33" i="6"/>
  <c r="V33" i="6"/>
  <c r="P33" i="6"/>
  <c r="S33" i="6"/>
  <c r="W69" i="6"/>
  <c r="S69" i="6"/>
  <c r="O69" i="6"/>
  <c r="X69" i="6"/>
  <c r="R69" i="6"/>
  <c r="M69" i="6"/>
  <c r="V69" i="6"/>
  <c r="P69" i="6"/>
  <c r="Q69" i="6"/>
  <c r="V74" i="6"/>
  <c r="R74" i="6"/>
  <c r="N74" i="6"/>
  <c r="X74" i="6"/>
  <c r="S74" i="6"/>
  <c r="M74" i="6"/>
  <c r="U74" i="6"/>
  <c r="O74" i="6"/>
  <c r="W74" i="6"/>
  <c r="P74" i="6"/>
  <c r="E34" i="2"/>
  <c r="E35" i="2"/>
  <c r="E36" i="2"/>
  <c r="E37" i="2"/>
  <c r="E38" i="2"/>
  <c r="E39" i="2"/>
  <c r="E40" i="2"/>
  <c r="E41" i="2"/>
  <c r="E42" i="2"/>
  <c r="W6" i="6"/>
  <c r="S6" i="6"/>
  <c r="O6" i="6"/>
  <c r="Q6" i="6"/>
  <c r="V6" i="6"/>
  <c r="U8" i="6"/>
  <c r="Q8" i="6"/>
  <c r="M8" i="6"/>
  <c r="R8" i="6"/>
  <c r="W8" i="6"/>
  <c r="K10" i="6"/>
  <c r="V11" i="6"/>
  <c r="R11" i="6"/>
  <c r="N11" i="6"/>
  <c r="Q11" i="6"/>
  <c r="W11" i="6"/>
  <c r="W14" i="6"/>
  <c r="S14" i="6"/>
  <c r="O14" i="6"/>
  <c r="Q14" i="6"/>
  <c r="V14" i="6"/>
  <c r="U16" i="6"/>
  <c r="Q16" i="6"/>
  <c r="M16" i="6"/>
  <c r="R16" i="6"/>
  <c r="W16" i="6"/>
  <c r="K18" i="6"/>
  <c r="V19" i="6"/>
  <c r="R19" i="6"/>
  <c r="N19" i="6"/>
  <c r="Q19" i="6"/>
  <c r="W19" i="6"/>
  <c r="W22" i="6"/>
  <c r="S22" i="6"/>
  <c r="O22" i="6"/>
  <c r="Q22" i="6"/>
  <c r="V22" i="6"/>
  <c r="U24" i="6"/>
  <c r="Q24" i="6"/>
  <c r="M24" i="6"/>
  <c r="R24" i="6"/>
  <c r="W24" i="6"/>
  <c r="K26" i="6"/>
  <c r="V27" i="6"/>
  <c r="R27" i="6"/>
  <c r="N27" i="6"/>
  <c r="Q27" i="6"/>
  <c r="W27" i="6"/>
  <c r="Q31" i="6"/>
  <c r="X31" i="6"/>
  <c r="Q32" i="6"/>
  <c r="N33" i="6"/>
  <c r="T33" i="6"/>
  <c r="K35" i="6"/>
  <c r="V36" i="6"/>
  <c r="R36" i="6"/>
  <c r="N36" i="6"/>
  <c r="U36" i="6"/>
  <c r="P36" i="6"/>
  <c r="S36" i="6"/>
  <c r="U37" i="6"/>
  <c r="Q37" i="6"/>
  <c r="M37" i="6"/>
  <c r="X37" i="6"/>
  <c r="S37" i="6"/>
  <c r="N37" i="6"/>
  <c r="T37" i="6"/>
  <c r="M39" i="6"/>
  <c r="X39" i="6"/>
  <c r="U40" i="6"/>
  <c r="W43" i="6"/>
  <c r="S43" i="6"/>
  <c r="O43" i="6"/>
  <c r="X43" i="6"/>
  <c r="R43" i="6"/>
  <c r="M43" i="6"/>
  <c r="T43" i="6"/>
  <c r="N43" i="6"/>
  <c r="V43" i="6"/>
  <c r="V45" i="6"/>
  <c r="V48" i="6"/>
  <c r="R48" i="6"/>
  <c r="N48" i="6"/>
  <c r="X48" i="6"/>
  <c r="S48" i="6"/>
  <c r="M48" i="6"/>
  <c r="T48" i="6"/>
  <c r="O48" i="6"/>
  <c r="W48" i="6"/>
  <c r="P51" i="6"/>
  <c r="U53" i="6"/>
  <c r="Q53" i="6"/>
  <c r="M53" i="6"/>
  <c r="X53" i="6"/>
  <c r="S53" i="6"/>
  <c r="N53" i="6"/>
  <c r="T53" i="6"/>
  <c r="O53" i="6"/>
  <c r="W53" i="6"/>
  <c r="P56" i="6"/>
  <c r="P61" i="6"/>
  <c r="X67" i="6"/>
  <c r="N69" i="6"/>
  <c r="Q73" i="6"/>
  <c r="Q74" i="6"/>
  <c r="W89" i="6"/>
  <c r="S89" i="6"/>
  <c r="O89" i="6"/>
  <c r="T89" i="6"/>
  <c r="N89" i="6"/>
  <c r="V89" i="6"/>
  <c r="P89" i="6"/>
  <c r="X89" i="6"/>
  <c r="M89" i="6"/>
  <c r="Q89" i="6"/>
  <c r="W97" i="6"/>
  <c r="S97" i="6"/>
  <c r="O97" i="6"/>
  <c r="T97" i="6"/>
  <c r="N97" i="6"/>
  <c r="U97" i="6"/>
  <c r="P97" i="6"/>
  <c r="R97" i="6"/>
  <c r="M97" i="6"/>
  <c r="Q97" i="6"/>
  <c r="U41" i="6"/>
  <c r="Q41" i="6"/>
  <c r="M41" i="6"/>
  <c r="R41" i="6"/>
  <c r="W41" i="6"/>
  <c r="K43" i="6"/>
  <c r="V44" i="6"/>
  <c r="R44" i="6"/>
  <c r="N44" i="6"/>
  <c r="Q44" i="6"/>
  <c r="W44" i="6"/>
  <c r="W47" i="6"/>
  <c r="S47" i="6"/>
  <c r="O47" i="6"/>
  <c r="Q47" i="6"/>
  <c r="V47" i="6"/>
  <c r="U49" i="6"/>
  <c r="Q49" i="6"/>
  <c r="M49" i="6"/>
  <c r="R49" i="6"/>
  <c r="W49" i="6"/>
  <c r="K51" i="6"/>
  <c r="V52" i="6"/>
  <c r="R52" i="6"/>
  <c r="N52" i="6"/>
  <c r="Q52" i="6"/>
  <c r="W52" i="6"/>
  <c r="W55" i="6"/>
  <c r="S55" i="6"/>
  <c r="O55" i="6"/>
  <c r="Q55" i="6"/>
  <c r="V55" i="6"/>
  <c r="U57" i="6"/>
  <c r="Q57" i="6"/>
  <c r="M57" i="6"/>
  <c r="R57" i="6"/>
  <c r="W57" i="6"/>
  <c r="K59" i="6"/>
  <c r="V60" i="6"/>
  <c r="R60" i="6"/>
  <c r="N60" i="6"/>
  <c r="Q60" i="6"/>
  <c r="W60" i="6"/>
  <c r="W63" i="6"/>
  <c r="S63" i="6"/>
  <c r="O63" i="6"/>
  <c r="Q63" i="6"/>
  <c r="V63" i="6"/>
  <c r="U65" i="6"/>
  <c r="Q65" i="6"/>
  <c r="M65" i="6"/>
  <c r="R65" i="6"/>
  <c r="W65" i="6"/>
  <c r="K67" i="6"/>
  <c r="U75" i="6"/>
  <c r="Q75" i="6"/>
  <c r="M75" i="6"/>
  <c r="V75" i="6"/>
  <c r="P75" i="6"/>
  <c r="S75" i="6"/>
  <c r="K80" i="6"/>
  <c r="K85" i="6"/>
  <c r="P5" i="6"/>
  <c r="T5" i="6"/>
  <c r="P9" i="6"/>
  <c r="T9" i="6"/>
  <c r="P13" i="6"/>
  <c r="T13" i="6"/>
  <c r="P17" i="6"/>
  <c r="T17" i="6"/>
  <c r="P21" i="6"/>
  <c r="T21" i="6"/>
  <c r="P25" i="6"/>
  <c r="T25" i="6"/>
  <c r="P29" i="6"/>
  <c r="T29" i="6"/>
  <c r="P41" i="6"/>
  <c r="V41" i="6"/>
  <c r="P44" i="6"/>
  <c r="U44" i="6"/>
  <c r="P47" i="6"/>
  <c r="U47" i="6"/>
  <c r="P49" i="6"/>
  <c r="V49" i="6"/>
  <c r="P52" i="6"/>
  <c r="U52" i="6"/>
  <c r="P55" i="6"/>
  <c r="U55" i="6"/>
  <c r="P57" i="6"/>
  <c r="V57" i="6"/>
  <c r="P60" i="6"/>
  <c r="U60" i="6"/>
  <c r="P63" i="6"/>
  <c r="U63" i="6"/>
  <c r="P65" i="6"/>
  <c r="V65" i="6"/>
  <c r="K69" i="6"/>
  <c r="V70" i="6"/>
  <c r="R70" i="6"/>
  <c r="N70" i="6"/>
  <c r="U70" i="6"/>
  <c r="P70" i="6"/>
  <c r="S70" i="6"/>
  <c r="U71" i="6"/>
  <c r="Q71" i="6"/>
  <c r="M71" i="6"/>
  <c r="X71" i="6"/>
  <c r="S71" i="6"/>
  <c r="N71" i="6"/>
  <c r="T71" i="6"/>
  <c r="R75" i="6"/>
  <c r="X75" i="6"/>
  <c r="V78" i="6"/>
  <c r="R78" i="6"/>
  <c r="N78" i="6"/>
  <c r="T78" i="6"/>
  <c r="O78" i="6"/>
  <c r="U78" i="6"/>
  <c r="M78" i="6"/>
  <c r="W78" i="6"/>
  <c r="W81" i="6"/>
  <c r="S81" i="6"/>
  <c r="O81" i="6"/>
  <c r="T81" i="6"/>
  <c r="N81" i="6"/>
  <c r="X81" i="6"/>
  <c r="Q81" i="6"/>
  <c r="U81" i="6"/>
  <c r="K96" i="6"/>
  <c r="P30" i="6"/>
  <c r="T30" i="6"/>
  <c r="P34" i="6"/>
  <c r="T34" i="6"/>
  <c r="P38" i="6"/>
  <c r="T38" i="6"/>
  <c r="P42" i="6"/>
  <c r="T42" i="6"/>
  <c r="P46" i="6"/>
  <c r="T46" i="6"/>
  <c r="P50" i="6"/>
  <c r="T50" i="6"/>
  <c r="P54" i="6"/>
  <c r="T54" i="6"/>
  <c r="P58" i="6"/>
  <c r="T58" i="6"/>
  <c r="P62" i="6"/>
  <c r="T62" i="6"/>
  <c r="P66" i="6"/>
  <c r="T66" i="6"/>
  <c r="U83" i="6"/>
  <c r="Q83" i="6"/>
  <c r="M83" i="6"/>
  <c r="T83" i="6"/>
  <c r="O83" i="6"/>
  <c r="S83" i="6"/>
  <c r="V86" i="6"/>
  <c r="R86" i="6"/>
  <c r="N86" i="6"/>
  <c r="T86" i="6"/>
  <c r="O86" i="6"/>
  <c r="S86" i="6"/>
  <c r="V94" i="6"/>
  <c r="R94" i="6"/>
  <c r="N94" i="6"/>
  <c r="T94" i="6"/>
  <c r="O94" i="6"/>
  <c r="U94" i="6"/>
  <c r="P94" i="6"/>
  <c r="W94" i="6"/>
  <c r="M93" i="6"/>
  <c r="R93" i="6"/>
  <c r="N95" i="6"/>
  <c r="S95" i="6"/>
  <c r="M98" i="6"/>
  <c r="S98" i="6"/>
  <c r="P68" i="6"/>
  <c r="T68" i="6"/>
  <c r="P72" i="6"/>
  <c r="T72" i="6"/>
  <c r="P76" i="6"/>
  <c r="T76" i="6"/>
  <c r="W77" i="6"/>
  <c r="S77" i="6"/>
  <c r="O77" i="6"/>
  <c r="Q77" i="6"/>
  <c r="V77" i="6"/>
  <c r="U79" i="6"/>
  <c r="Q79" i="6"/>
  <c r="M79" i="6"/>
  <c r="R79" i="6"/>
  <c r="W79" i="6"/>
  <c r="K81" i="6"/>
  <c r="V82" i="6"/>
  <c r="R82" i="6"/>
  <c r="N82" i="6"/>
  <c r="Q82" i="6"/>
  <c r="W82" i="6"/>
  <c r="W85" i="6"/>
  <c r="S85" i="6"/>
  <c r="O85" i="6"/>
  <c r="Q85" i="6"/>
  <c r="V85" i="6"/>
  <c r="U87" i="6"/>
  <c r="Q87" i="6"/>
  <c r="M87" i="6"/>
  <c r="R87" i="6"/>
  <c r="W87" i="6"/>
  <c r="K89" i="6"/>
  <c r="V90" i="6"/>
  <c r="R90" i="6"/>
  <c r="N90" i="6"/>
  <c r="Q90" i="6"/>
  <c r="W90" i="6"/>
  <c r="W93" i="6"/>
  <c r="S93" i="6"/>
  <c r="O93" i="6"/>
  <c r="Q93" i="6"/>
  <c r="V93" i="6"/>
  <c r="U95" i="6"/>
  <c r="Q95" i="6"/>
  <c r="M95" i="6"/>
  <c r="R95" i="6"/>
  <c r="W95" i="6"/>
  <c r="V98" i="6"/>
  <c r="R98" i="6"/>
  <c r="N98" i="6"/>
  <c r="Q98" i="6"/>
  <c r="W98" i="6"/>
  <c r="P80" i="6"/>
  <c r="T80" i="6"/>
  <c r="P84" i="6"/>
  <c r="T84" i="6"/>
  <c r="P88" i="6"/>
  <c r="T88" i="6"/>
  <c r="P92" i="6"/>
  <c r="T92" i="6"/>
  <c r="P96" i="6"/>
  <c r="T96" i="6"/>
  <c r="P100" i="6"/>
  <c r="T100" i="6"/>
  <c r="X100" i="6"/>
  <c r="M100" i="6"/>
  <c r="Q100" i="6"/>
  <c r="P101" i="6"/>
  <c r="T101" i="6"/>
  <c r="N32" i="5" l="1"/>
  <c r="M17" i="5"/>
  <c r="M21" i="5"/>
  <c r="Y72" i="6"/>
  <c r="N11" i="5"/>
  <c r="M25" i="5"/>
  <c r="N25" i="5" s="1"/>
  <c r="D25" i="2"/>
  <c r="D29" i="2"/>
  <c r="Y25" i="6"/>
  <c r="N13" i="5"/>
  <c r="Y66" i="6"/>
  <c r="Y50" i="6"/>
  <c r="Y34" i="6"/>
  <c r="Y36" i="6"/>
  <c r="M27" i="5"/>
  <c r="Y101" i="6"/>
  <c r="C24" i="2"/>
  <c r="Y17" i="6"/>
  <c r="M5" i="5"/>
  <c r="Y84" i="6"/>
  <c r="Y21" i="6"/>
  <c r="Y80" i="6"/>
  <c r="Y68" i="6"/>
  <c r="Y42" i="6"/>
  <c r="M9" i="5"/>
  <c r="Y92" i="6"/>
  <c r="Y90" i="6"/>
  <c r="Y82" i="6"/>
  <c r="Y60" i="6"/>
  <c r="Y29" i="6"/>
  <c r="Y13" i="6"/>
  <c r="M28" i="5"/>
  <c r="N28" i="5" s="1"/>
  <c r="D26" i="2"/>
  <c r="E26" i="2" s="1"/>
  <c r="Y81" i="6"/>
  <c r="Y62" i="6"/>
  <c r="Y46" i="6"/>
  <c r="Y30" i="6"/>
  <c r="Y55" i="6"/>
  <c r="M15" i="5"/>
  <c r="Y88" i="6"/>
  <c r="Y85" i="6"/>
  <c r="Y77" i="6"/>
  <c r="Y76" i="6"/>
  <c r="Y58" i="6"/>
  <c r="Y70" i="6"/>
  <c r="Y5" i="6"/>
  <c r="Y47" i="6"/>
  <c r="Y48" i="6"/>
  <c r="N26" i="5"/>
  <c r="C29" i="2"/>
  <c r="C25" i="2"/>
  <c r="E25" i="2" s="1"/>
  <c r="Y56" i="6"/>
  <c r="Y94" i="6"/>
  <c r="Y86" i="6"/>
  <c r="Y54" i="6"/>
  <c r="Y38" i="6"/>
  <c r="Y63" i="6"/>
  <c r="Y96" i="6"/>
  <c r="Y9" i="6"/>
  <c r="Y52" i="6"/>
  <c r="Y22" i="6"/>
  <c r="Y14" i="6"/>
  <c r="Y6" i="6"/>
  <c r="Y33" i="6"/>
  <c r="Y31" i="6"/>
  <c r="D28" i="2"/>
  <c r="D30" i="2"/>
  <c r="E30" i="2" s="1"/>
  <c r="N22" i="5"/>
  <c r="N18" i="5"/>
  <c r="Y53" i="6"/>
  <c r="Y74" i="6"/>
  <c r="D23" i="2"/>
  <c r="C23" i="2"/>
  <c r="D27" i="2"/>
  <c r="C27" i="2"/>
  <c r="M20" i="5"/>
  <c r="D46" i="2"/>
  <c r="B17" i="2" s="1"/>
  <c r="Y64" i="6"/>
  <c r="Y59" i="6"/>
  <c r="G43" i="2"/>
  <c r="I43" i="2" s="1"/>
  <c r="Y4" i="6"/>
  <c r="G34" i="2"/>
  <c r="Y100" i="6"/>
  <c r="Y98" i="6"/>
  <c r="Y93" i="6"/>
  <c r="Y78" i="6"/>
  <c r="Y65" i="6"/>
  <c r="Y57" i="6"/>
  <c r="Y49" i="6"/>
  <c r="Y41" i="6"/>
  <c r="Y97" i="6"/>
  <c r="Y27" i="6"/>
  <c r="Y19" i="6"/>
  <c r="Y11" i="6"/>
  <c r="E46" i="2"/>
  <c r="Y69" i="6"/>
  <c r="Y73" i="6"/>
  <c r="Y51" i="6"/>
  <c r="Y28" i="6"/>
  <c r="Y12" i="6"/>
  <c r="N24" i="5"/>
  <c r="D9" i="2"/>
  <c r="M16" i="5"/>
  <c r="G35" i="2"/>
  <c r="I35" i="2" s="1"/>
  <c r="G40" i="2"/>
  <c r="I40" i="2" s="1"/>
  <c r="G38" i="2"/>
  <c r="I38" i="2" s="1"/>
  <c r="Y95" i="6"/>
  <c r="Y87" i="6"/>
  <c r="Y79" i="6"/>
  <c r="Y71" i="6"/>
  <c r="Y43" i="6"/>
  <c r="Y39" i="6"/>
  <c r="Y40" i="6"/>
  <c r="C28" i="2"/>
  <c r="Y61" i="6"/>
  <c r="D24" i="2"/>
  <c r="E24" i="2" s="1"/>
  <c r="Y35" i="6"/>
  <c r="Y23" i="6"/>
  <c r="Y7" i="6"/>
  <c r="H13" i="2"/>
  <c r="N6" i="5"/>
  <c r="Y26" i="6"/>
  <c r="Y20" i="6"/>
  <c r="Y10" i="6"/>
  <c r="G36" i="2"/>
  <c r="I36" i="2" s="1"/>
  <c r="G42" i="2"/>
  <c r="I42" i="2" s="1"/>
  <c r="Y83" i="6"/>
  <c r="Y75" i="6"/>
  <c r="Y44" i="6"/>
  <c r="Y89" i="6"/>
  <c r="Y37" i="6"/>
  <c r="Y24" i="6"/>
  <c r="Y16" i="6"/>
  <c r="Y8" i="6"/>
  <c r="Y99" i="6"/>
  <c r="Y91" i="6"/>
  <c r="Y67" i="6"/>
  <c r="Y45" i="6"/>
  <c r="Y32" i="6"/>
  <c r="Y18" i="6"/>
  <c r="M33" i="5"/>
  <c r="N31" i="5"/>
  <c r="N12" i="5"/>
  <c r="G39" i="2"/>
  <c r="I39" i="2" s="1"/>
  <c r="N14" i="5"/>
  <c r="N10" i="5"/>
  <c r="M8" i="5"/>
  <c r="G37" i="2"/>
  <c r="I37" i="2" s="1"/>
  <c r="G41" i="2"/>
  <c r="I41" i="2" s="1"/>
  <c r="Y15" i="6"/>
  <c r="H46" i="2"/>
  <c r="C53" i="2" l="1"/>
  <c r="E29" i="2"/>
  <c r="E28" i="2"/>
  <c r="I24" i="2"/>
  <c r="C51" i="2"/>
  <c r="C52" i="2"/>
  <c r="H9" i="2"/>
  <c r="F9" i="2"/>
  <c r="G46" i="2"/>
  <c r="B13" i="2" s="1"/>
  <c r="I34" i="2"/>
  <c r="I28" i="2"/>
  <c r="I26" i="2"/>
  <c r="D17" i="2"/>
  <c r="F17" i="2"/>
  <c r="C54" i="2"/>
  <c r="E23" i="2"/>
  <c r="C31" i="2"/>
  <c r="I25" i="2"/>
  <c r="I23" i="2"/>
  <c r="D31" i="2"/>
  <c r="I27" i="2"/>
  <c r="E27" i="2"/>
  <c r="D54" i="2" l="1"/>
  <c r="I46" i="2"/>
  <c r="D52" i="2"/>
  <c r="D53" i="2"/>
  <c r="D51" i="2"/>
  <c r="E31" i="2"/>
  <c r="D13" i="2"/>
</calcChain>
</file>

<file path=xl/sharedStrings.xml><?xml version="1.0" encoding="utf-8"?>
<sst xmlns="http://schemas.openxmlformats.org/spreadsheetml/2006/main" count="1391" uniqueCount="511">
  <si>
    <t>NURU HR Digital Portfolio – classeur d'analyse RH</t>
  </si>
  <si>
    <t>Données fictives – Portfolio personnel, non officiel de Nuru</t>
  </si>
  <si>
    <t>Objet</t>
  </si>
  <si>
    <t>Tableau de bord RH manipulable : effectifs, contrats et échéances, absences, stagiaires et recrutement, calculés à partir des données fictives du projet (dossier data/raw).</t>
  </si>
  <si>
    <t>Comment l'utiliser</t>
  </si>
  <si>
    <t>1. Ouvrez la feuille « Tableau de bord ».</t>
  </si>
  <si>
    <t>2. Modifiez les cellules jaunes : date de situation (année 2026), département, bureau.</t>
  </si>
  <si>
    <t>3. Les tuiles, tableaux et graphiques se recalculent. Les feuilles de données ont des filtres (flèches des en-têtes) pour explorer le détail, par exemple les contrats « Urgent ».</t>
  </si>
  <si>
    <t>4. Si les valeurs n'apparaissent pas, cliquez sur « Activer la modification » (mode protégé), puis appuyez sur F9.</t>
  </si>
  <si>
    <t>Feuilles</t>
  </si>
  <si>
    <t>Tableau de bord : indicateurs, registre mensuel, graphiques.</t>
  </si>
  <si>
    <t>Paramètres : seuils d'alerte des contrats (modifiables) et listes de référence.</t>
  </si>
  <si>
    <t>Collaborateurs, Contrats, Absences, Stagiaires, Candidatures, Étapes recrutement : données sources et colonnes de calcul (en-têtes « 1/0 », dates, niveaux d'alerte).</t>
  </si>
  <si>
    <t>Règles de calcul</t>
  </si>
  <si>
    <t>Une personne sortie le jour J ne compte plus dans l'effectif à la fin du jour J.</t>
  </si>
  <si>
    <t>Le type de contrat est celui du dernier contrat commencé à la date de situation.</t>
  </si>
  <si>
    <t>Jours d'absence : jours ouvrables du lundi au vendredi, absences approuvées ou constatées, du 1er janvier à la date de situation. Jours fériés non déduits (simplification).</t>
  </si>
  <si>
    <t>Taux d'absentéisme et taux de rotation : indicateurs d'analyse calculés sur données fictives, méthode indiquée sous chaque tableau.</t>
  </si>
  <si>
    <t>Les seuils 30 / 60 / 90 jours sont des seuils d'alerte internes, pas des règles juridiques. Toute règle du Code du travail de la RDC (durée des CDD, préavis, congés) doit être vérifiée dans le texte en vigueur.</t>
  </si>
  <si>
    <t>Protection des données</t>
  </si>
  <si>
    <t>Aucune date de naissance, e-mail, salaire, genre individuel, motif de sortie, note de stage ou nom de candidat. Les motifs de santé sont regroupés sous « Absence justifiée (motif confidentiel) ».</t>
  </si>
  <si>
    <t>Le classeur organise l'information : les décisions (fin de CDD, recrutement) restent prises par des personnes.</t>
  </si>
  <si>
    <t>Origine</t>
  </si>
  <si>
    <t>Généré par dashboard/generer_classeur_excel.py le 15/10/2026. Ne pas modifier les données à la main : relancer le script après la chaîne de traitement.</t>
  </si>
  <si>
    <t>Tableau de bord RH – classeur d'analyse</t>
  </si>
  <si>
    <t>Date de situation</t>
  </si>
  <si>
    <t>Modifiez les cellules jaunes : tous les indicateurs, tableaux et graphiques se recalculent. Date de situation : une date de l'année 2026. Le recrutement n'est pas filtré par département ni par bureau.</t>
  </si>
  <si>
    <t>Département</t>
  </si>
  <si>
    <t>Tous</t>
  </si>
  <si>
    <t>Bureau</t>
  </si>
  <si>
    <t>Effectif actif</t>
  </si>
  <si>
    <t>Part de CDD</t>
  </si>
  <si>
    <t>CDD à échéance ≤ 30 jours</t>
  </si>
  <si>
    <t>Contrats échus</t>
  </si>
  <si>
    <t>collaborateurs en poste</t>
  </si>
  <si>
    <t>des collaborateurs en poste</t>
  </si>
  <si>
    <t>dossier de fin de CDD à préparer</t>
  </si>
  <si>
    <t>à régulariser</t>
  </si>
  <si>
    <t>Jours d'absence réalisés</t>
  </si>
  <si>
    <t>Taux d'absentéisme</t>
  </si>
  <si>
    <t>Stagiaires en cours</t>
  </si>
  <si>
    <t>Demandes de congé en attente</t>
  </si>
  <si>
    <t>jours ouvrables depuis le 1er janvier</t>
  </si>
  <si>
    <t>jours d'absence / jours ouvrables × effectif</t>
  </si>
  <si>
    <t>à la date de situation</t>
  </si>
  <si>
    <t>à traiter par le responsable</t>
  </si>
  <si>
    <t>Entrées depuis le 1er janvier</t>
  </si>
  <si>
    <t>Sorties depuis le 1er janvier</t>
  </si>
  <si>
    <t>Taux de rotation</t>
  </si>
  <si>
    <t>Candidatures reçues</t>
  </si>
  <si>
    <t>embauches</t>
  </si>
  <si>
    <t>départs</t>
  </si>
  <si>
    <t>sorties / effectif moyen de fin de mois</t>
  </si>
  <si>
    <t>toutes offres, sans filtre</t>
  </si>
  <si>
    <t>Effectif en poste par département et type de contrat (filtre Bureau)</t>
  </si>
  <si>
    <t>Échéances des contrats</t>
  </si>
  <si>
    <t>CDI</t>
  </si>
  <si>
    <t>CDD</t>
  </si>
  <si>
    <t>Total</t>
  </si>
  <si>
    <t>Niveau d'alerte</t>
  </si>
  <si>
    <t>Contrats</t>
  </si>
  <si>
    <t>Commercial et service client</t>
  </si>
  <si>
    <t>Direction</t>
  </si>
  <si>
    <t>Finance</t>
  </si>
  <si>
    <t>Informatique</t>
  </si>
  <si>
    <t>Logistique</t>
  </si>
  <si>
    <t>Opérations techniques</t>
  </si>
  <si>
    <t>Ressources humaines</t>
  </si>
  <si>
    <t>Services généraux</t>
  </si>
  <si>
    <t>Détail et filtres : feuille « Collaborateurs », colonne « Niveau d'alerte ».</t>
  </si>
  <si>
    <t>Registre mensuel 2026 : effectifs et absentéisme (filtres appliqués)</t>
  </si>
  <si>
    <t>Mois</t>
  </si>
  <si>
    <t>Effectif début</t>
  </si>
  <si>
    <t>Entrées</t>
  </si>
  <si>
    <t>Sorties</t>
  </si>
  <si>
    <t>Effectif fin</t>
  </si>
  <si>
    <t>Jours d'absence</t>
  </si>
  <si>
    <t>Jours ouvrables × effectif</t>
  </si>
  <si>
    <t>Total année</t>
  </si>
  <si>
    <t>Taux d'absentéisme = jours d'absence réalisés / (effectif de fin de mois × jours ouvrables du mois). Approximation : jours fériés non déduits.</t>
  </si>
  <si>
    <t>Jours d'absence réalisés par catégorie</t>
  </si>
  <si>
    <t>Stagiaires par statut</t>
  </si>
  <si>
    <t>Catégorie</t>
  </si>
  <si>
    <t>Jours</t>
  </si>
  <si>
    <t>Part</t>
  </si>
  <si>
    <t>Statut</t>
  </si>
  <si>
    <t>Stagiaires</t>
  </si>
  <si>
    <t>Congé annuel</t>
  </si>
  <si>
    <t>Congé de circonstance</t>
  </si>
  <si>
    <t>Absence non justifiée</t>
  </si>
  <si>
    <t>Absence justifiée (motif confidentiel)</t>
  </si>
  <si>
    <t>Recrutement : candidatures ayant franchi chaque étape (désistements exclus, sans filtre)</t>
  </si>
  <si>
    <t>Étape</t>
  </si>
  <si>
    <t>OFF-2026-01</t>
  </si>
  <si>
    <t>OFF-2026-02</t>
  </si>
  <si>
    <t>1. Candidature reçue</t>
  </si>
  <si>
    <t>2. Présélection</t>
  </si>
  <si>
    <t>3. Convocation au test</t>
  </si>
  <si>
    <t>4. Test réalisé</t>
  </si>
  <si>
    <t>5. Vérification des références</t>
  </si>
  <si>
    <t>6. Décision du responsable RH</t>
  </si>
  <si>
    <t>7. Offre et contractualisation</t>
  </si>
  <si>
    <t>8. Intégration</t>
  </si>
  <si>
    <t>Assistant(e) RH</t>
  </si>
  <si>
    <t>Technicien(ne) électricien(ne)</t>
  </si>
  <si>
    <t>Paramètres et listes de référence</t>
  </si>
  <si>
    <t>Paramètre</t>
  </si>
  <si>
    <t>Valeur</t>
  </si>
  <si>
    <t>Commentaire</t>
  </si>
  <si>
    <t>Départements</t>
  </si>
  <si>
    <t>Bureaux</t>
  </si>
  <si>
    <t>Catégories d'absence</t>
  </si>
  <si>
    <t>Statuts des stages</t>
  </si>
  <si>
    <t>Niveaux d'alerte des contrats</t>
  </si>
  <si>
    <t>Seuil « Urgent » (jours)</t>
  </si>
  <si>
    <t>Seuil d'alerte interne au projet (repris de analysis/suivi_rh.py), pas une règle juridique.</t>
  </si>
  <si>
    <t>En cours</t>
  </si>
  <si>
    <t>Échu, à régulariser</t>
  </si>
  <si>
    <t>Seuil « À préparer » (jours)</t>
  </si>
  <si>
    <t>Beni</t>
  </si>
  <si>
    <t>À venir</t>
  </si>
  <si>
    <t>Urgent (≤ 30 jours)</t>
  </si>
  <si>
    <t>Seuil « À surveiller » (jours)</t>
  </si>
  <si>
    <t>Bukavu</t>
  </si>
  <si>
    <t>Terminé</t>
  </si>
  <si>
    <t>À préparer (31 à 60 jours)</t>
  </si>
  <si>
    <t>Goma</t>
  </si>
  <si>
    <t>À surveiller (61 à 90 jours)</t>
  </si>
  <si>
    <t>RAS (&gt; 90 jours)</t>
  </si>
  <si>
    <t>Sans échéance (CDI)</t>
  </si>
  <si>
    <t>Contrats de travail (sans rémunération)</t>
  </si>
  <si>
    <t>Contrat</t>
  </si>
  <si>
    <t>Matricule</t>
  </si>
  <si>
    <t>Type</t>
  </si>
  <si>
    <t>Durée (mois)</t>
  </si>
  <si>
    <t>Début</t>
  </si>
  <si>
    <t>Fin</t>
  </si>
  <si>
    <t>Motif</t>
  </si>
  <si>
    <t>Clé (calcul)</t>
  </si>
  <si>
    <t>CTR-0001</t>
  </si>
  <si>
    <t>EMP-001</t>
  </si>
  <si>
    <t>Embauche initiale</t>
  </si>
  <si>
    <t>CTR-0002</t>
  </si>
  <si>
    <t>EMP-002</t>
  </si>
  <si>
    <t>CTR-0003</t>
  </si>
  <si>
    <t>Renouvellement</t>
  </si>
  <si>
    <t>CTR-0004</t>
  </si>
  <si>
    <t>Passage en CDI</t>
  </si>
  <si>
    <t>CTR-0005</t>
  </si>
  <si>
    <t>EMP-003</t>
  </si>
  <si>
    <t>CTR-0006</t>
  </si>
  <si>
    <t>CTR-0007</t>
  </si>
  <si>
    <t>EMP-004</t>
  </si>
  <si>
    <t>CTR-0008</t>
  </si>
  <si>
    <t>CTR-0009</t>
  </si>
  <si>
    <t>EMP-005</t>
  </si>
  <si>
    <t>CTR-0010</t>
  </si>
  <si>
    <t>EMP-006</t>
  </si>
  <si>
    <t>CTR-0011</t>
  </si>
  <si>
    <t>CTR-0012</t>
  </si>
  <si>
    <t>CTR-0013</t>
  </si>
  <si>
    <t>EMP-007</t>
  </si>
  <si>
    <t>CTR-0014</t>
  </si>
  <si>
    <t>EMP-008</t>
  </si>
  <si>
    <t>CTR-0015</t>
  </si>
  <si>
    <t>EMP-009</t>
  </si>
  <si>
    <t>CTR-0016</t>
  </si>
  <si>
    <t>CTR-0017</t>
  </si>
  <si>
    <t>EMP-010</t>
  </si>
  <si>
    <t>CTR-0018</t>
  </si>
  <si>
    <t>EMP-011</t>
  </si>
  <si>
    <t>CTR-0019</t>
  </si>
  <si>
    <t>CTR-0020</t>
  </si>
  <si>
    <t>EMP-012</t>
  </si>
  <si>
    <t>CTR-0021</t>
  </si>
  <si>
    <t>CTR-0022</t>
  </si>
  <si>
    <t>CTR-0023</t>
  </si>
  <si>
    <t>EMP-013</t>
  </si>
  <si>
    <t>CTR-0024</t>
  </si>
  <si>
    <t>CTR-0025</t>
  </si>
  <si>
    <t>EMP-014</t>
  </si>
  <si>
    <t>CTR-0026</t>
  </si>
  <si>
    <t>EMP-015</t>
  </si>
  <si>
    <t>CTR-0027</t>
  </si>
  <si>
    <t>CTR-0028</t>
  </si>
  <si>
    <t>EMP-016</t>
  </si>
  <si>
    <t>CTR-0029</t>
  </si>
  <si>
    <t>EMP-017</t>
  </si>
  <si>
    <t>CTR-0030</t>
  </si>
  <si>
    <t>CTR-0031</t>
  </si>
  <si>
    <t>CTR-0032</t>
  </si>
  <si>
    <t>EMP-018</t>
  </si>
  <si>
    <t>CTR-0033</t>
  </si>
  <si>
    <t>CTR-0034</t>
  </si>
  <si>
    <t>CTR-0035</t>
  </si>
  <si>
    <t>EMP-019</t>
  </si>
  <si>
    <t>CTR-0036</t>
  </si>
  <si>
    <t>CTR-0037</t>
  </si>
  <si>
    <t>CTR-0038</t>
  </si>
  <si>
    <t>EMP-020</t>
  </si>
  <si>
    <t>CTR-0039</t>
  </si>
  <si>
    <t>EMP-021</t>
  </si>
  <si>
    <t>CTR-0040</t>
  </si>
  <si>
    <t>CTR-0041</t>
  </si>
  <si>
    <t>EMP-022</t>
  </si>
  <si>
    <t>CTR-0042</t>
  </si>
  <si>
    <t>CTR-0043</t>
  </si>
  <si>
    <t>EMP-023</t>
  </si>
  <si>
    <t>CTR-0044</t>
  </si>
  <si>
    <t>EMP-024</t>
  </si>
  <si>
    <t>CTR-0045</t>
  </si>
  <si>
    <t>CTR-0046</t>
  </si>
  <si>
    <t>EMP-025</t>
  </si>
  <si>
    <t>CTR-0047</t>
  </si>
  <si>
    <t>CTR-0048</t>
  </si>
  <si>
    <t>CTR-0049</t>
  </si>
  <si>
    <t>EMP-026</t>
  </si>
  <si>
    <t>CTR-0050</t>
  </si>
  <si>
    <t>EMP-027</t>
  </si>
  <si>
    <t>CTR-0051</t>
  </si>
  <si>
    <t>CTR-0052</t>
  </si>
  <si>
    <t>EMP-028</t>
  </si>
  <si>
    <t>CTR-0053</t>
  </si>
  <si>
    <t>EMP-029</t>
  </si>
  <si>
    <t>CTR-0054</t>
  </si>
  <si>
    <t>CTR-0055</t>
  </si>
  <si>
    <t>EMP-030</t>
  </si>
  <si>
    <t>Registre du personnel et échéances des contrats</t>
  </si>
  <si>
    <t>Nom</t>
  </si>
  <si>
    <t>Poste</t>
  </si>
  <si>
    <t>Date d'embauche</t>
  </si>
  <si>
    <t>Date de sortie</t>
  </si>
  <si>
    <t>Dans le filtre (1/0)</t>
  </si>
  <si>
    <t>En poste à la date (1/0)</t>
  </si>
  <si>
    <t>Début du contrat en vigueur</t>
  </si>
  <si>
    <t>Type de contrat</t>
  </si>
  <si>
    <t>Fin du contrat</t>
  </si>
  <si>
    <t>Jours restants</t>
  </si>
  <si>
    <t>Bienvenu Mukeba</t>
  </si>
  <si>
    <t>Directeur(trice) pays</t>
  </si>
  <si>
    <t>Clarisse Bisimwa</t>
  </si>
  <si>
    <t>Assistant(e) de direction</t>
  </si>
  <si>
    <t>Neema Lukusa</t>
  </si>
  <si>
    <t>Responsable RH</t>
  </si>
  <si>
    <t>Josué Mirindi</t>
  </si>
  <si>
    <t>Chargé(e) RH</t>
  </si>
  <si>
    <t>Grâce Balume</t>
  </si>
  <si>
    <t>Responsable financier(ère)</t>
  </si>
  <si>
    <t>Patrick Amisi</t>
  </si>
  <si>
    <t>Comptable</t>
  </si>
  <si>
    <t>Rachel Safari</t>
  </si>
  <si>
    <t>Olivier Kalume</t>
  </si>
  <si>
    <t>Responsable logistique</t>
  </si>
  <si>
    <t>Divine Shabani</t>
  </si>
  <si>
    <t>Logisticien(ne)</t>
  </si>
  <si>
    <t>Dieudonné Byamungu</t>
  </si>
  <si>
    <t>Chauffeur</t>
  </si>
  <si>
    <t>Espoir Cirhuza</t>
  </si>
  <si>
    <t>Héritier Kubuya</t>
  </si>
  <si>
    <t>Arsène Rusimbi</t>
  </si>
  <si>
    <t>Magasinier(ère)</t>
  </si>
  <si>
    <t>Ruth Mushagalusa</t>
  </si>
  <si>
    <t>Chef(fe) de projet technique</t>
  </si>
  <si>
    <t>Elie Kalinda</t>
  </si>
  <si>
    <t>Ingénieur(e) électricien(ne)</t>
  </si>
  <si>
    <t>Aline Zihindula</t>
  </si>
  <si>
    <t>Baraka Mwamba</t>
  </si>
  <si>
    <t>Tumaini Bahizi</t>
  </si>
  <si>
    <t>Faraja Maombi</t>
  </si>
  <si>
    <t>Riziki Barhakomerwa</t>
  </si>
  <si>
    <t>Imani Lwaboshi</t>
  </si>
  <si>
    <t>Jospin Ilunga</t>
  </si>
  <si>
    <t>Furaha Nsimire</t>
  </si>
  <si>
    <t>Responsable commercial(e)</t>
  </si>
  <si>
    <t>Gloire Kasereka</t>
  </si>
  <si>
    <t>Agent(e) commercial(e)</t>
  </si>
  <si>
    <t>Zawadi Muhindo</t>
  </si>
  <si>
    <t>Pascal Paluku</t>
  </si>
  <si>
    <t>Merveille Kavira</t>
  </si>
  <si>
    <t>Chargé(e) service client</t>
  </si>
  <si>
    <t>Christelle Masika</t>
  </si>
  <si>
    <t>Nadine Mapendo</t>
  </si>
  <si>
    <t>Administrateur(trice) systèmes</t>
  </si>
  <si>
    <t>Bahati Kambale</t>
  </si>
  <si>
    <t>Agent(e) de sécurité</t>
  </si>
  <si>
    <t>Absences et congés (motifs de santé regroupés, catégorie confidentielle)</t>
  </si>
  <si>
    <t>Absence</t>
  </si>
  <si>
    <t>Collaborateur</t>
  </si>
  <si>
    <t>Jours ouvrables</t>
  </si>
  <si>
    <t>Réalisée (1/0)</t>
  </si>
  <si>
    <t>Jours 01</t>
  </si>
  <si>
    <t>Jours 02</t>
  </si>
  <si>
    <t>Jours 03</t>
  </si>
  <si>
    <t>Jours 04</t>
  </si>
  <si>
    <t>Jours 05</t>
  </si>
  <si>
    <t>Jours 06</t>
  </si>
  <si>
    <t>Jours 07</t>
  </si>
  <si>
    <t>Jours 08</t>
  </si>
  <si>
    <t>Jours 09</t>
  </si>
  <si>
    <t>Jours 10</t>
  </si>
  <si>
    <t>Jours 11</t>
  </si>
  <si>
    <t>Jours 12</t>
  </si>
  <si>
    <t>Jours année</t>
  </si>
  <si>
    <t>ABS-0001</t>
  </si>
  <si>
    <t>Approuvée</t>
  </si>
  <si>
    <t>ABS-0002</t>
  </si>
  <si>
    <t>ABS-0003</t>
  </si>
  <si>
    <t>ABS-0004</t>
  </si>
  <si>
    <t>ABS-0005</t>
  </si>
  <si>
    <t>ABS-0006</t>
  </si>
  <si>
    <t>ABS-0007</t>
  </si>
  <si>
    <t>ABS-0008</t>
  </si>
  <si>
    <t>ABS-0009</t>
  </si>
  <si>
    <t>ABS-0010</t>
  </si>
  <si>
    <t>ABS-0011</t>
  </si>
  <si>
    <t>ABS-0012</t>
  </si>
  <si>
    <t>ABS-0013</t>
  </si>
  <si>
    <t>ABS-0014</t>
  </si>
  <si>
    <t>ABS-0015</t>
  </si>
  <si>
    <t>ABS-0016</t>
  </si>
  <si>
    <t>ABS-0017</t>
  </si>
  <si>
    <t>ABS-0018</t>
  </si>
  <si>
    <t>ABS-0019</t>
  </si>
  <si>
    <t>ABS-0020</t>
  </si>
  <si>
    <t>ABS-0021</t>
  </si>
  <si>
    <t>ABS-0022</t>
  </si>
  <si>
    <t>ABS-0023</t>
  </si>
  <si>
    <t>ABS-0024</t>
  </si>
  <si>
    <t>ABS-0025</t>
  </si>
  <si>
    <t>ABS-0026</t>
  </si>
  <si>
    <t>ABS-0027</t>
  </si>
  <si>
    <t>ABS-0028</t>
  </si>
  <si>
    <t>ABS-0029</t>
  </si>
  <si>
    <t>ABS-0030</t>
  </si>
  <si>
    <t>ABS-0031</t>
  </si>
  <si>
    <t>ABS-0032</t>
  </si>
  <si>
    <t>ABS-0033</t>
  </si>
  <si>
    <t>ABS-0034</t>
  </si>
  <si>
    <t>ABS-0035</t>
  </si>
  <si>
    <t>ABS-0036</t>
  </si>
  <si>
    <t>ABS-0037</t>
  </si>
  <si>
    <t>Constatée</t>
  </si>
  <si>
    <t>ABS-0038</t>
  </si>
  <si>
    <t>ABS-0039</t>
  </si>
  <si>
    <t>ABS-0040</t>
  </si>
  <si>
    <t>ABS-0041</t>
  </si>
  <si>
    <t>ABS-0042</t>
  </si>
  <si>
    <t>ABS-0043</t>
  </si>
  <si>
    <t>ABS-0044</t>
  </si>
  <si>
    <t>ABS-0045</t>
  </si>
  <si>
    <t>ABS-0046</t>
  </si>
  <si>
    <t>ABS-0047</t>
  </si>
  <si>
    <t>ABS-0048</t>
  </si>
  <si>
    <t>ABS-0049</t>
  </si>
  <si>
    <t>Refusée</t>
  </si>
  <si>
    <t>ABS-0050</t>
  </si>
  <si>
    <t>ABS-0051</t>
  </si>
  <si>
    <t>ABS-0052</t>
  </si>
  <si>
    <t>ABS-0053</t>
  </si>
  <si>
    <t>ABS-0054</t>
  </si>
  <si>
    <t>ABS-0055</t>
  </si>
  <si>
    <t>ABS-0056</t>
  </si>
  <si>
    <t>ABS-0057</t>
  </si>
  <si>
    <t>ABS-0058</t>
  </si>
  <si>
    <t>ABS-0059</t>
  </si>
  <si>
    <t>ABS-0060</t>
  </si>
  <si>
    <t>ABS-0061</t>
  </si>
  <si>
    <t>ABS-0062</t>
  </si>
  <si>
    <t>ABS-0063</t>
  </si>
  <si>
    <t>ABS-0064</t>
  </si>
  <si>
    <t>ABS-0065</t>
  </si>
  <si>
    <t>ABS-0066</t>
  </si>
  <si>
    <t>ABS-0067</t>
  </si>
  <si>
    <t>ABS-0068</t>
  </si>
  <si>
    <t>ABS-0069</t>
  </si>
  <si>
    <t>ABS-0070</t>
  </si>
  <si>
    <t>ABS-0071</t>
  </si>
  <si>
    <t>ABS-0072</t>
  </si>
  <si>
    <t>ABS-0073</t>
  </si>
  <si>
    <t>ABS-0074</t>
  </si>
  <si>
    <t>ABS-0075</t>
  </si>
  <si>
    <t>ABS-0076</t>
  </si>
  <si>
    <t>ABS-0077</t>
  </si>
  <si>
    <t>ABS-0078</t>
  </si>
  <si>
    <t>ABS-0079</t>
  </si>
  <si>
    <t>ABS-0080</t>
  </si>
  <si>
    <t>ABS-0081</t>
  </si>
  <si>
    <t>ABS-0082</t>
  </si>
  <si>
    <t>ABS-0083</t>
  </si>
  <si>
    <t>ABS-0084</t>
  </si>
  <si>
    <t>ABS-0085</t>
  </si>
  <si>
    <t>ABS-0086</t>
  </si>
  <si>
    <t>ABS-0087</t>
  </si>
  <si>
    <t>ABS-0088</t>
  </si>
  <si>
    <t>ABS-0089</t>
  </si>
  <si>
    <t>ABS-0090</t>
  </si>
  <si>
    <t>ABS-0091</t>
  </si>
  <si>
    <t>ABS-0092</t>
  </si>
  <si>
    <t>ABS-0093</t>
  </si>
  <si>
    <t>ABS-0094</t>
  </si>
  <si>
    <t>ABS-0095</t>
  </si>
  <si>
    <t>ABS-0096</t>
  </si>
  <si>
    <t>ABS-0097</t>
  </si>
  <si>
    <t>En attente</t>
  </si>
  <si>
    <t>ABS-0098</t>
  </si>
  <si>
    <t>Suivi des stagiaires (sans note ni indemnité)</t>
  </si>
  <si>
    <t>Stagiaire</t>
  </si>
  <si>
    <t>Filière</t>
  </si>
  <si>
    <t>Niveau</t>
  </si>
  <si>
    <t>Encadreur</t>
  </si>
  <si>
    <t>Bureau de l'encadreur</t>
  </si>
  <si>
    <t>Évaluation enregistrée</t>
  </si>
  <si>
    <t>Statut à la date</t>
  </si>
  <si>
    <t>Jours avant la fin</t>
  </si>
  <si>
    <t>Évaluation finale</t>
  </si>
  <si>
    <t>STG-001</t>
  </si>
  <si>
    <t>Sifa Bagula</t>
  </si>
  <si>
    <t>Gestion des ressources humaines</t>
  </si>
  <si>
    <t>Licence 3</t>
  </si>
  <si>
    <t>Oui</t>
  </si>
  <si>
    <t>STG-002</t>
  </si>
  <si>
    <t>Josaphat Kakule</t>
  </si>
  <si>
    <t>Génie électrique</t>
  </si>
  <si>
    <t>STG-003</t>
  </si>
  <si>
    <t>Ornella Bulambo</t>
  </si>
  <si>
    <t>Comptabilité</t>
  </si>
  <si>
    <t>Licence 2</t>
  </si>
  <si>
    <t>STG-004</t>
  </si>
  <si>
    <t>Moïse Kambale</t>
  </si>
  <si>
    <t>Master 1</t>
  </si>
  <si>
    <t>Non</t>
  </si>
  <si>
    <t>STG-005</t>
  </si>
  <si>
    <t>Joëlle Namegabe</t>
  </si>
  <si>
    <t>Sciences commerciales</t>
  </si>
  <si>
    <t>STG-006</t>
  </si>
  <si>
    <t>Daniel Mastaki</t>
  </si>
  <si>
    <t>Informatique de gestion</t>
  </si>
  <si>
    <t>Candidatures (affichées par numéro de dossier)</t>
  </si>
  <si>
    <t>Dossier</t>
  </si>
  <si>
    <t>Offre</t>
  </si>
  <si>
    <t>Date de candidature</t>
  </si>
  <si>
    <t>Source</t>
  </si>
  <si>
    <t>CAND-001</t>
  </si>
  <si>
    <t>Site carrières</t>
  </si>
  <si>
    <t>CAND-002</t>
  </si>
  <si>
    <t>Réseaux sociaux</t>
  </si>
  <si>
    <t>CAND-003</t>
  </si>
  <si>
    <t>Bouche-à-oreille</t>
  </si>
  <si>
    <t>CAND-004</t>
  </si>
  <si>
    <t>CAND-005</t>
  </si>
  <si>
    <t>CAND-006</t>
  </si>
  <si>
    <t>Université</t>
  </si>
  <si>
    <t>CAND-007</t>
  </si>
  <si>
    <t>CAND-008</t>
  </si>
  <si>
    <t>CAND-009</t>
  </si>
  <si>
    <t>CAND-010</t>
  </si>
  <si>
    <t>Journal des étapes de recrutement (décisions humaines)</t>
  </si>
  <si>
    <t>Événement</t>
  </si>
  <si>
    <t>Libellé de l'étape</t>
  </si>
  <si>
    <t>Date</t>
  </si>
  <si>
    <t>Résultat</t>
  </si>
  <si>
    <t>Enregistré par</t>
  </si>
  <si>
    <t>EVT-001</t>
  </si>
  <si>
    <t>Candidature reçue</t>
  </si>
  <si>
    <t>Validée</t>
  </si>
  <si>
    <t>EVT-002</t>
  </si>
  <si>
    <t>Présélection</t>
  </si>
  <si>
    <t>Comité de recrutement</t>
  </si>
  <si>
    <t>EVT-003</t>
  </si>
  <si>
    <t>Convocation au test</t>
  </si>
  <si>
    <t>EVT-004</t>
  </si>
  <si>
    <t>Test réalisé</t>
  </si>
  <si>
    <t>EVT-005</t>
  </si>
  <si>
    <t>Vérification des références</t>
  </si>
  <si>
    <t>EVT-006</t>
  </si>
  <si>
    <t>Décision du responsable RH</t>
  </si>
  <si>
    <t>Favorable</t>
  </si>
  <si>
    <t>EVT-007</t>
  </si>
  <si>
    <t>Offre et contractualisation</t>
  </si>
  <si>
    <t>EVT-008</t>
  </si>
  <si>
    <t>EVT-009</t>
  </si>
  <si>
    <t>EVT-010</t>
  </si>
  <si>
    <t>EVT-011</t>
  </si>
  <si>
    <t>EVT-012</t>
  </si>
  <si>
    <t>EVT-013</t>
  </si>
  <si>
    <t>Défavorable</t>
  </si>
  <si>
    <t>EVT-014</t>
  </si>
  <si>
    <t>EVT-015</t>
  </si>
  <si>
    <t>EVT-016</t>
  </si>
  <si>
    <t>EVT-017</t>
  </si>
  <si>
    <t>Non retenu(e)</t>
  </si>
  <si>
    <t>EVT-018</t>
  </si>
  <si>
    <t>EVT-019</t>
  </si>
  <si>
    <t>EVT-020</t>
  </si>
  <si>
    <t>EVT-021</t>
  </si>
  <si>
    <t>EVT-022</t>
  </si>
  <si>
    <t>EVT-023</t>
  </si>
  <si>
    <t>EVT-024</t>
  </si>
  <si>
    <t>EVT-025</t>
  </si>
  <si>
    <t>EVT-026</t>
  </si>
  <si>
    <t>EVT-027</t>
  </si>
  <si>
    <t>EVT-028</t>
  </si>
  <si>
    <t>EVT-029</t>
  </si>
  <si>
    <t>EVT-030</t>
  </si>
  <si>
    <t>EVT-031</t>
  </si>
  <si>
    <t>EVT-032</t>
  </si>
  <si>
    <t>EVT-033</t>
  </si>
  <si>
    <t>EVT-034</t>
  </si>
  <si>
    <t>EVT-035</t>
  </si>
  <si>
    <t>EVT-036</t>
  </si>
  <si>
    <t>Désistement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</si>
</sst>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
    <numFmt numFmtId="166" formatCode="mmmm\ yyyy"/>
  </numFmts>
  <fonts count="17" x14ac:knownFonts="1">
    <font>
      <sz val="11"/>
      <color theme="1"/>
      <name val="Calibri"/>
      <family val="2"/>
      <scheme val="minor"/>
    </font>
    <font>
      <b/>
      <sz val="14"/>
      <color rgb="FF1C5CAB"/>
      <name val="Arial"/>
    </font>
    <font>
      <i/>
      <sz val="9"/>
      <color rgb="FF52514E"/>
      <name val="Arial"/>
    </font>
    <font>
      <sz val="10"/>
      <color rgb="FF0B0B0B"/>
      <name val="Arial"/>
    </font>
    <font>
      <sz val="10"/>
      <color rgb="FF0000FF"/>
      <name val="Arial"/>
    </font>
    <font>
      <sz val="9"/>
      <color rgb="FF52514E"/>
      <name val="Arial"/>
    </font>
    <font>
      <b/>
      <sz val="10"/>
      <color rgb="FF0B0B0B"/>
      <name val="Arial"/>
    </font>
    <font>
      <b/>
      <sz val="10"/>
      <color rgb="FFFFFFFF"/>
      <name val="Arial"/>
    </font>
    <font>
      <b/>
      <sz val="18"/>
      <color rgb="FFFFFFFF"/>
      <name val="Arial"/>
    </font>
    <font>
      <b/>
      <sz val="11"/>
      <color rgb="FF0000FF"/>
      <name val="Arial"/>
    </font>
    <font>
      <b/>
      <sz val="9"/>
      <color rgb="FF52514E"/>
      <name val="Arial"/>
    </font>
    <font>
      <b/>
      <sz val="20"/>
      <color rgb="FF1C5CAB"/>
      <name val="Arial"/>
    </font>
    <font>
      <sz val="8"/>
      <color rgb="FF52514E"/>
      <name val="Arial"/>
    </font>
    <font>
      <b/>
      <sz val="11"/>
      <color rgb="FF1C5CAB"/>
      <name val="Arial"/>
    </font>
    <font>
      <i/>
      <sz val="8"/>
      <color rgb="FF52514E"/>
      <name val="Arial"/>
    </font>
    <font>
      <b/>
      <sz val="16"/>
      <color rgb="FF1C5CAB"/>
      <name val="Arial"/>
    </font>
    <font>
      <b/>
      <sz val="10"/>
      <color rgb="FFC00000"/>
      <name val="Arial"/>
    </font>
  </fonts>
  <fills count="6">
    <fill>
      <patternFill patternType="none"/>
    </fill>
    <fill>
      <patternFill patternType="gray125"/>
    </fill>
    <fill>
      <patternFill patternType="solid">
        <fgColor rgb="FFFFF2B3"/>
        <bgColor rgb="FFFFF2B3"/>
      </patternFill>
    </fill>
    <fill>
      <patternFill patternType="solid">
        <fgColor rgb="FF1C5CAB"/>
        <bgColor rgb="FF1C5CAB"/>
      </patternFill>
    </fill>
    <fill>
      <patternFill patternType="solid">
        <fgColor rgb="FFF4F7FB"/>
        <bgColor rgb="FFF4F7FB"/>
      </patternFill>
    </fill>
    <fill>
      <patternFill patternType="solid">
        <fgColor rgb="FFE8EFF8"/>
        <bgColor rgb="FFE8EFF8"/>
      </patternFill>
    </fill>
  </fills>
  <borders count="4">
    <border>
      <left/>
      <right/>
      <top/>
      <bottom/>
      <diagonal/>
    </border>
    <border>
      <left style="thin">
        <color rgb="FFD9D8D4"/>
      </left>
      <right style="thin">
        <color rgb="FFD9D8D4"/>
      </right>
      <top style="thin">
        <color rgb="FFD9D8D4"/>
      </top>
      <bottom style="thin">
        <color rgb="FFD9D8D4"/>
      </bottom>
      <diagonal/>
    </border>
    <border>
      <left/>
      <right/>
      <top/>
      <bottom style="medium">
        <color rgb="FF1C5CAB"/>
      </bottom>
      <diagonal/>
    </border>
    <border>
      <left/>
      <right style="thin">
        <color rgb="FFD9D8D4"/>
      </right>
      <top style="thin">
        <color rgb="FFD9D8D4"/>
      </top>
      <bottom style="thin">
        <color rgb="FFD9D8D4"/>
      </bottom>
      <diagonal/>
    </border>
  </borders>
  <cellStyleXfs count="1">
    <xf numFmtId="0" fontId="0" fillId="0" borderId="0"/>
  </cellStyleXfs>
  <cellXfs count="44">
    <xf numFmtId="0" fontId="0" fillId="0" borderId="0" xfId="0"/>
    <xf numFmtId="0" fontId="1" fillId="0" borderId="0" xfId="0" applyFont="1"/>
    <xf numFmtId="0" fontId="15" fillId="0" borderId="0" xfId="0" applyFont="1"/>
    <xf numFmtId="0" fontId="2" fillId="0" borderId="0" xfId="0" applyFont="1"/>
    <xf numFmtId="0" fontId="16" fillId="0" borderId="0" xfId="0" applyFont="1"/>
    <xf numFmtId="0" fontId="13" fillId="0" borderId="0" xfId="0" applyFont="1" applyAlignment="1">
      <alignment vertical="top" wrapText="1"/>
    </xf>
    <xf numFmtId="0" fontId="3" fillId="0" borderId="0" xfId="0" applyFont="1" applyAlignment="1">
      <alignment vertical="top" wrapText="1"/>
    </xf>
    <xf numFmtId="0" fontId="6" fillId="0" borderId="0" xfId="0" applyFont="1"/>
    <xf numFmtId="0" fontId="13" fillId="0" borderId="2" xfId="0" applyFont="1" applyBorder="1"/>
    <xf numFmtId="0" fontId="0" fillId="0" borderId="2" xfId="0" applyBorder="1"/>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horizontal="center"/>
    </xf>
    <xf numFmtId="0" fontId="14" fillId="0" borderId="0" xfId="0" applyFont="1"/>
    <xf numFmtId="0" fontId="6" fillId="5" borderId="1" xfId="0" applyFont="1" applyFill="1" applyBorder="1"/>
    <xf numFmtId="0" fontId="6" fillId="5" borderId="1" xfId="0" applyFont="1" applyFill="1" applyBorder="1" applyAlignment="1">
      <alignment horizontal="center"/>
    </xf>
    <xf numFmtId="166" fontId="3" fillId="0" borderId="1" xfId="0" applyNumberFormat="1" applyFont="1" applyBorder="1" applyAlignment="1">
      <alignment horizontal="left"/>
    </xf>
    <xf numFmtId="3" fontId="3" fillId="0" borderId="1" xfId="0" applyNumberFormat="1" applyFont="1" applyBorder="1" applyAlignment="1">
      <alignment horizontal="center"/>
    </xf>
    <xf numFmtId="165" fontId="3" fillId="0" borderId="1" xfId="0" applyNumberFormat="1" applyFont="1" applyBorder="1" applyAlignment="1">
      <alignment horizontal="center"/>
    </xf>
    <xf numFmtId="166" fontId="6" fillId="0" borderId="1" xfId="0" applyNumberFormat="1" applyFont="1" applyBorder="1" applyAlignment="1">
      <alignment horizontal="left"/>
    </xf>
    <xf numFmtId="0" fontId="3" fillId="0" borderId="0" xfId="0" applyFont="1"/>
    <xf numFmtId="0" fontId="4" fillId="2" borderId="0" xfId="0" applyFont="1" applyFill="1"/>
    <xf numFmtId="0" fontId="5" fillId="0" borderId="0" xfId="0" applyFont="1"/>
    <xf numFmtId="0" fontId="7" fillId="0" borderId="0" xfId="0" applyFont="1" applyAlignment="1">
      <alignment vertical="center" wrapText="1"/>
    </xf>
    <xf numFmtId="14" fontId="3" fillId="0" borderId="0" xfId="0" applyNumberFormat="1" applyFont="1"/>
    <xf numFmtId="164" fontId="3" fillId="0" borderId="0" xfId="0" applyNumberFormat="1" applyFont="1"/>
    <xf numFmtId="1" fontId="3" fillId="0" borderId="0" xfId="0" applyNumberFormat="1" applyFont="1"/>
    <xf numFmtId="0" fontId="6" fillId="0" borderId="0" xfId="0" applyFont="1"/>
    <xf numFmtId="0" fontId="0" fillId="0" borderId="0" xfId="0"/>
    <xf numFmtId="0" fontId="10" fillId="4" borderId="0" xfId="0" applyFont="1" applyFill="1" applyAlignment="1">
      <alignment horizontal="center" vertical="center" wrapText="1"/>
    </xf>
    <xf numFmtId="0" fontId="0" fillId="4" borderId="0" xfId="0" applyFill="1"/>
    <xf numFmtId="0" fontId="3" fillId="0" borderId="1" xfId="0" applyFont="1" applyBorder="1" applyAlignment="1">
      <alignment horizontal="left"/>
    </xf>
    <xf numFmtId="0" fontId="0" fillId="0" borderId="3" xfId="0" applyBorder="1"/>
    <xf numFmtId="0" fontId="9" fillId="2" borderId="1" xfId="0" applyFont="1" applyFill="1" applyBorder="1" applyAlignment="1">
      <alignment horizontal="center"/>
    </xf>
    <xf numFmtId="0" fontId="12" fillId="4" borderId="0" xfId="0" applyFont="1" applyFill="1" applyAlignment="1">
      <alignment horizontal="center" vertical="center" wrapText="1"/>
    </xf>
    <xf numFmtId="0" fontId="6" fillId="5" borderId="1" xfId="0" applyFont="1" applyFill="1" applyBorder="1" applyAlignment="1">
      <alignment horizontal="left"/>
    </xf>
    <xf numFmtId="3" fontId="11" fillId="4" borderId="0" xfId="0" applyNumberFormat="1" applyFont="1" applyFill="1" applyAlignment="1">
      <alignment horizontal="center" vertical="center" wrapText="1"/>
    </xf>
    <xf numFmtId="0" fontId="8" fillId="3" borderId="0" xfId="0" applyFont="1" applyFill="1" applyAlignment="1">
      <alignment vertical="center" indent="1"/>
    </xf>
    <xf numFmtId="165" fontId="11" fillId="4" borderId="0" xfId="0" applyNumberFormat="1" applyFont="1" applyFill="1" applyAlignment="1">
      <alignment horizontal="center" vertical="center" wrapText="1"/>
    </xf>
    <xf numFmtId="0" fontId="5" fillId="0" borderId="0" xfId="0" applyFont="1" applyAlignment="1">
      <alignment vertical="center" wrapText="1"/>
    </xf>
    <xf numFmtId="14" fontId="9" fillId="2" borderId="1" xfId="0" applyNumberFormat="1" applyFont="1" applyFill="1" applyBorder="1" applyAlignment="1">
      <alignment horizontal="center"/>
    </xf>
    <xf numFmtId="0" fontId="6" fillId="5" borderId="1" xfId="0" applyFont="1" applyFill="1" applyBorder="1" applyAlignment="1">
      <alignment horizontal="left" vertical="center" wrapText="1"/>
    </xf>
    <xf numFmtId="9" fontId="11" fillId="4" borderId="0" xfId="0" applyNumberFormat="1" applyFont="1" applyFill="1" applyAlignment="1">
      <alignment horizontal="center" vertical="center" wrapText="1"/>
    </xf>
  </cellXfs>
  <cellStyles count="1">
    <cellStyle name="Normal" xfId="0" builtinId="0"/>
  </cellStyles>
  <dxfs count="6">
    <dxf>
      <fill>
        <patternFill patternType="solid">
          <fgColor rgb="FFFEF0CC"/>
          <bgColor rgb="FFFEF0CC"/>
        </patternFill>
      </fill>
    </dxf>
    <dxf>
      <fill>
        <patternFill patternType="solid">
          <fgColor rgb="FFFBE0D4"/>
          <bgColor rgb="FFFBE0D4"/>
        </patternFill>
      </fill>
    </dxf>
    <dxf>
      <fill>
        <patternFill patternType="solid">
          <fgColor rgb="FFF6D3D3"/>
          <bgColor rgb="FFF6D3D3"/>
        </patternFill>
      </fill>
    </dxf>
    <dxf>
      <fill>
        <patternFill patternType="solid">
          <fgColor rgb="FFFEF0CC"/>
          <bgColor rgb="FFFEF0CC"/>
        </patternFill>
      </fill>
    </dxf>
    <dxf>
      <fill>
        <patternFill patternType="solid">
          <fgColor rgb="FFFBE0D4"/>
          <bgColor rgb="FFFBE0D4"/>
        </patternFill>
      </fill>
    </dxf>
    <dxf>
      <fill>
        <patternFill patternType="solid">
          <fgColor rgb="FFF6D3D3"/>
          <bgColor rgb="FFF6D3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Effectif par département</a:t>
            </a:r>
          </a:p>
        </c:rich>
      </c:tx>
      <c:layout/>
      <c:overlay val="0"/>
    </c:title>
    <c:autoTitleDeleted val="0"/>
    <c:plotArea>
      <c:layout/>
      <c:barChart>
        <c:barDir val="bar"/>
        <c:grouping val="stacked"/>
        <c:varyColors val="1"/>
        <c:ser>
          <c:idx val="0"/>
          <c:order val="0"/>
          <c:tx>
            <c:strRef>
              <c:f>'Tableau de bord'!$C$22</c:f>
              <c:strCache>
                <c:ptCount val="1"/>
                <c:pt idx="0">
                  <c:v>CDI</c:v>
                </c:pt>
              </c:strCache>
            </c:strRef>
          </c:tx>
          <c:spPr>
            <a:solidFill>
              <a:srgbClr val="2A78D6"/>
            </a:solidFill>
            <a:ln>
              <a:noFill/>
              <a:prstDash val="solid"/>
            </a:ln>
          </c:spPr>
          <c:invertIfNegative val="1"/>
          <c:cat>
            <c:strRef>
              <c:f>'Tableau de bord'!$B$23:$B$30</c:f>
              <c:strCache>
                <c:ptCount val="8"/>
                <c:pt idx="0">
                  <c:v>Commercial et service client</c:v>
                </c:pt>
                <c:pt idx="1">
                  <c:v>Direction</c:v>
                </c:pt>
                <c:pt idx="2">
                  <c:v>Finance</c:v>
                </c:pt>
                <c:pt idx="3">
                  <c:v>Informatique</c:v>
                </c:pt>
                <c:pt idx="4">
                  <c:v>Logistique</c:v>
                </c:pt>
                <c:pt idx="5">
                  <c:v>Opérations techniques</c:v>
                </c:pt>
                <c:pt idx="6">
                  <c:v>Ressources humaines</c:v>
                </c:pt>
                <c:pt idx="7">
                  <c:v>Services généraux</c:v>
                </c:pt>
              </c:strCache>
            </c:strRef>
          </c:cat>
          <c:val>
            <c:numRef>
              <c:f>'Tableau de bord'!$C$23:$C$30</c:f>
              <c:numCache>
                <c:formatCode>General</c:formatCode>
                <c:ptCount val="8"/>
                <c:pt idx="0">
                  <c:v>3</c:v>
                </c:pt>
                <c:pt idx="1">
                  <c:v>2</c:v>
                </c:pt>
                <c:pt idx="2">
                  <c:v>2</c:v>
                </c:pt>
                <c:pt idx="3">
                  <c:v>1</c:v>
                </c:pt>
                <c:pt idx="4">
                  <c:v>5</c:v>
                </c:pt>
                <c:pt idx="5">
                  <c:v>5</c:v>
                </c:pt>
                <c:pt idx="6">
                  <c:v>1</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730-4339-9C13-298A48125C56}"/>
            </c:ext>
          </c:extLst>
        </c:ser>
        <c:ser>
          <c:idx val="1"/>
          <c:order val="1"/>
          <c:tx>
            <c:strRef>
              <c:f>'Tableau de bord'!$D$22</c:f>
              <c:strCache>
                <c:ptCount val="1"/>
                <c:pt idx="0">
                  <c:v>CDD</c:v>
                </c:pt>
              </c:strCache>
            </c:strRef>
          </c:tx>
          <c:spPr>
            <a:solidFill>
              <a:srgbClr val="EB6834"/>
            </a:solidFill>
            <a:ln>
              <a:noFill/>
              <a:prstDash val="solid"/>
            </a:ln>
          </c:spPr>
          <c:invertIfNegative val="1"/>
          <c:cat>
            <c:strRef>
              <c:f>'Tableau de bord'!$B$23:$B$30</c:f>
              <c:strCache>
                <c:ptCount val="8"/>
                <c:pt idx="0">
                  <c:v>Commercial et service client</c:v>
                </c:pt>
                <c:pt idx="1">
                  <c:v>Direction</c:v>
                </c:pt>
                <c:pt idx="2">
                  <c:v>Finance</c:v>
                </c:pt>
                <c:pt idx="3">
                  <c:v>Informatique</c:v>
                </c:pt>
                <c:pt idx="4">
                  <c:v>Logistique</c:v>
                </c:pt>
                <c:pt idx="5">
                  <c:v>Opérations techniques</c:v>
                </c:pt>
                <c:pt idx="6">
                  <c:v>Ressources humaines</c:v>
                </c:pt>
                <c:pt idx="7">
                  <c:v>Services généraux</c:v>
                </c:pt>
              </c:strCache>
            </c:strRef>
          </c:cat>
          <c:val>
            <c:numRef>
              <c:f>'Tableau de bord'!$D$23:$D$30</c:f>
              <c:numCache>
                <c:formatCode>General</c:formatCode>
                <c:ptCount val="8"/>
                <c:pt idx="0">
                  <c:v>2</c:v>
                </c:pt>
                <c:pt idx="1">
                  <c:v>0</c:v>
                </c:pt>
                <c:pt idx="2">
                  <c:v>1</c:v>
                </c:pt>
                <c:pt idx="3">
                  <c:v>0</c:v>
                </c:pt>
                <c:pt idx="4">
                  <c:v>1</c:v>
                </c:pt>
                <c:pt idx="5">
                  <c:v>2</c:v>
                </c:pt>
                <c:pt idx="6">
                  <c:v>1</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730-4339-9C13-298A48125C56}"/>
            </c:ext>
          </c:extLst>
        </c:ser>
        <c:dLbls>
          <c:showLegendKey val="0"/>
          <c:showVal val="0"/>
          <c:showCatName val="0"/>
          <c:showSerName val="0"/>
          <c:showPercent val="0"/>
          <c:showBubbleSize val="0"/>
        </c:dLbls>
        <c:gapWidth val="60"/>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D9D8D4"/>
              </a:solidFill>
              <a:prstDash val="solid"/>
            </a:ln>
          </c:spPr>
        </c:majorGridlines>
        <c:numFmt formatCode="General" sourceLinked="1"/>
        <c:majorTickMark val="none"/>
        <c:minorTickMark val="none"/>
        <c:tickLblPos val="nextTo"/>
        <c:crossAx val="10"/>
        <c:crosses val="max"/>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Effectif de fin de mois</a:t>
            </a:r>
          </a:p>
        </c:rich>
      </c:tx>
      <c:layout/>
      <c:overlay val="0"/>
    </c:title>
    <c:autoTitleDeleted val="0"/>
    <c:plotArea>
      <c:layout/>
      <c:barChart>
        <c:barDir val="col"/>
        <c:grouping val="clustered"/>
        <c:varyColors val="1"/>
        <c:ser>
          <c:idx val="0"/>
          <c:order val="0"/>
          <c:tx>
            <c:strRef>
              <c:f>'Tableau de bord'!$F$33</c:f>
              <c:strCache>
                <c:ptCount val="1"/>
                <c:pt idx="0">
                  <c:v>Effectif fin</c:v>
                </c:pt>
              </c:strCache>
            </c:strRef>
          </c:tx>
          <c:spPr>
            <a:solidFill>
              <a:srgbClr val="2A78D6"/>
            </a:solidFill>
            <a:ln>
              <a:noFill/>
              <a:prstDash val="solid"/>
            </a:ln>
          </c:spPr>
          <c:invertIfNegative val="1"/>
          <c:cat>
            <c:numRef>
              <c:f>'Tableau de bord'!$B$34:$B$45</c:f>
              <c:numCache>
                <c:formatCode>mmmm\ 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'Tableau de bord'!$F$34:$F$45</c:f>
              <c:numCache>
                <c:formatCode>General</c:formatCode>
                <c:ptCount val="12"/>
                <c:pt idx="0">
                  <c:v>27</c:v>
                </c:pt>
                <c:pt idx="1">
                  <c:v>27</c:v>
                </c:pt>
                <c:pt idx="2">
                  <c:v>27</c:v>
                </c:pt>
                <c:pt idx="3">
                  <c:v>29</c:v>
                </c:pt>
                <c:pt idx="4">
                  <c:v>29</c:v>
                </c:pt>
                <c:pt idx="5">
                  <c:v>28</c:v>
                </c:pt>
                <c:pt idx="6">
                  <c:v>28</c:v>
                </c:pt>
                <c:pt idx="7">
                  <c:v>28</c:v>
                </c:pt>
                <c:pt idx="8">
                  <c:v>27</c:v>
                </c:pt>
                <c:pt idx="9">
                  <c:v>27</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ED0-46A7-B268-C5B02D6DEB42}"/>
            </c:ext>
          </c:extLst>
        </c:ser>
        <c:dLbls>
          <c:showLegendKey val="0"/>
          <c:showVal val="0"/>
          <c:showCatName val="0"/>
          <c:showSerName val="0"/>
          <c:showPercent val="0"/>
          <c:showBubbleSize val="0"/>
        </c:dLbls>
        <c:gapWidth val="60"/>
        <c:axId val="10"/>
        <c:axId val="100"/>
      </c:barChart>
      <c:dateAx>
        <c:axId val="10"/>
        <c:scaling>
          <c:orientation val="minMax"/>
        </c:scaling>
        <c:delete val="0"/>
        <c:axPos val="b"/>
        <c:numFmt formatCode="mmm" sourceLinked="0"/>
        <c:majorTickMark val="none"/>
        <c:minorTickMark val="none"/>
        <c:tickLblPos val="nextTo"/>
        <c:crossAx val="100"/>
        <c:crosses val="autoZero"/>
        <c:auto val="1"/>
        <c:lblOffset val="100"/>
        <c:baseTimeUnit val="months"/>
      </c:dateAx>
      <c:valAx>
        <c:axId val="100"/>
        <c:scaling>
          <c:orientation val="minMax"/>
        </c:scaling>
        <c:delete val="0"/>
        <c:axPos val="l"/>
        <c:majorGridlines>
          <c:spPr>
            <a:ln w="6350">
              <a:solidFill>
                <a:srgbClr val="D9D8D4"/>
              </a:solidFill>
              <a:prstDash val="solid"/>
            </a:ln>
          </c:spPr>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Taux d'absentéisme mensuel</a:t>
            </a:r>
          </a:p>
        </c:rich>
      </c:tx>
      <c:layout/>
      <c:overlay val="0"/>
    </c:title>
    <c:autoTitleDeleted val="0"/>
    <c:plotArea>
      <c:layout/>
      <c:barChart>
        <c:barDir val="col"/>
        <c:grouping val="clustered"/>
        <c:varyColors val="1"/>
        <c:ser>
          <c:idx val="0"/>
          <c:order val="0"/>
          <c:tx>
            <c:strRef>
              <c:f>'Tableau de bord'!$I$33</c:f>
              <c:strCache>
                <c:ptCount val="1"/>
                <c:pt idx="0">
                  <c:v>Taux d'absentéisme</c:v>
                </c:pt>
              </c:strCache>
            </c:strRef>
          </c:tx>
          <c:spPr>
            <a:solidFill>
              <a:srgbClr val="2A78D6"/>
            </a:solidFill>
            <a:ln>
              <a:noFill/>
              <a:prstDash val="solid"/>
            </a:ln>
          </c:spPr>
          <c:invertIfNegative val="1"/>
          <c:cat>
            <c:numRef>
              <c:f>'Tableau de bord'!$B$34:$B$45</c:f>
              <c:numCache>
                <c:formatCode>mmmm\ 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'Tableau de bord'!$I$34:$I$45</c:f>
              <c:numCache>
                <c:formatCode>0.0%</c:formatCode>
                <c:ptCount val="12"/>
                <c:pt idx="0">
                  <c:v>4.3771043771043773E-2</c:v>
                </c:pt>
                <c:pt idx="1">
                  <c:v>5.3703703703703705E-2</c:v>
                </c:pt>
                <c:pt idx="2">
                  <c:v>0.18855218855218855</c:v>
                </c:pt>
                <c:pt idx="3">
                  <c:v>0.11442006269592477</c:v>
                </c:pt>
                <c:pt idx="4">
                  <c:v>7.8817733990147784E-2</c:v>
                </c:pt>
                <c:pt idx="5">
                  <c:v>8.7662337662337664E-2</c:v>
                </c:pt>
                <c:pt idx="6">
                  <c:v>9.4720496894409936E-2</c:v>
                </c:pt>
                <c:pt idx="7">
                  <c:v>6.9727891156462579E-2</c:v>
                </c:pt>
                <c:pt idx="8">
                  <c:v>0.1531986531986532</c:v>
                </c:pt>
                <c:pt idx="9">
                  <c:v>0.16329966329966331</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F48-4E0C-A667-3A18379EC217}"/>
            </c:ext>
          </c:extLst>
        </c:ser>
        <c:dLbls>
          <c:showLegendKey val="0"/>
          <c:showVal val="0"/>
          <c:showCatName val="0"/>
          <c:showSerName val="0"/>
          <c:showPercent val="0"/>
          <c:showBubbleSize val="0"/>
        </c:dLbls>
        <c:gapWidth val="60"/>
        <c:axId val="10"/>
        <c:axId val="100"/>
      </c:barChart>
      <c:dateAx>
        <c:axId val="10"/>
        <c:scaling>
          <c:orientation val="minMax"/>
        </c:scaling>
        <c:delete val="0"/>
        <c:axPos val="b"/>
        <c:numFmt formatCode="mmm" sourceLinked="0"/>
        <c:majorTickMark val="none"/>
        <c:minorTickMark val="none"/>
        <c:tickLblPos val="nextTo"/>
        <c:crossAx val="100"/>
        <c:crosses val="autoZero"/>
        <c:auto val="1"/>
        <c:lblOffset val="100"/>
        <c:baseTimeUnit val="months"/>
      </c:dateAx>
      <c:valAx>
        <c:axId val="100"/>
        <c:scaling>
          <c:orientation val="minMax"/>
        </c:scaling>
        <c:delete val="0"/>
        <c:axPos val="l"/>
        <c:majorGridlines>
          <c:spPr>
            <a:ln w="6350">
              <a:solidFill>
                <a:srgbClr val="D9D8D4"/>
              </a:solidFill>
              <a:prstDash val="solid"/>
            </a:ln>
          </c:spPr>
        </c:majorGridlines>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Jours d'absence par catégorie</a:t>
            </a:r>
          </a:p>
        </c:rich>
      </c:tx>
      <c:layout/>
      <c:overlay val="0"/>
    </c:title>
    <c:autoTitleDeleted val="0"/>
    <c:plotArea>
      <c:layout/>
      <c:barChart>
        <c:barDir val="bar"/>
        <c:grouping val="clustered"/>
        <c:varyColors val="1"/>
        <c:ser>
          <c:idx val="0"/>
          <c:order val="0"/>
          <c:tx>
            <c:strRef>
              <c:f>'Tableau de bord'!$C$50</c:f>
              <c:strCache>
                <c:ptCount val="1"/>
                <c:pt idx="0">
                  <c:v>Jours</c:v>
                </c:pt>
              </c:strCache>
            </c:strRef>
          </c:tx>
          <c:spPr>
            <a:solidFill>
              <a:srgbClr val="2A78D6"/>
            </a:solidFill>
            <a:ln>
              <a:noFill/>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layout/>
                <c15:showLeaderLines val="0"/>
              </c:ext>
            </c:extLst>
          </c:dLbls>
          <c:cat>
            <c:strRef>
              <c:f>'Tableau de bord'!$B$51:$B$54</c:f>
              <c:strCache>
                <c:ptCount val="4"/>
                <c:pt idx="0">
                  <c:v>Congé annuel</c:v>
                </c:pt>
                <c:pt idx="1">
                  <c:v>Congé de circonstance</c:v>
                </c:pt>
                <c:pt idx="2">
                  <c:v>Absence non justifiée</c:v>
                </c:pt>
                <c:pt idx="3">
                  <c:v>Absence justifiée (motif confidentiel)</c:v>
                </c:pt>
              </c:strCache>
            </c:strRef>
          </c:cat>
          <c:val>
            <c:numRef>
              <c:f>'Tableau de bord'!$C$51:$C$54</c:f>
              <c:numCache>
                <c:formatCode>#,##0</c:formatCode>
                <c:ptCount val="4"/>
                <c:pt idx="0">
                  <c:v>455</c:v>
                </c:pt>
                <c:pt idx="1">
                  <c:v>16</c:v>
                </c:pt>
                <c:pt idx="2">
                  <c:v>2</c:v>
                </c:pt>
                <c:pt idx="3">
                  <c:v>159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A91-4630-B775-3B2CD40CB70E}"/>
            </c:ext>
          </c:extLst>
        </c:ser>
        <c:dLbls>
          <c:showLegendKey val="0"/>
          <c:showVal val="1"/>
          <c:showCatName val="0"/>
          <c:showSerName val="0"/>
          <c:showPercent val="0"/>
          <c:showBubbleSize val="1"/>
        </c:dLbls>
        <c:gapWidth val="6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D9D8D4"/>
              </a:solidFill>
              <a:prstDash val="solid"/>
            </a:ln>
          </c:spPr>
        </c:majorGridlines>
        <c:numFmt formatCode="#,##0" sourceLinked="1"/>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Recrutement : candidatures par étape</a:t>
            </a:r>
          </a:p>
        </c:rich>
      </c:tx>
      <c:layout/>
      <c:overlay val="0"/>
    </c:title>
    <c:autoTitleDeleted val="0"/>
    <c:plotArea>
      <c:layout/>
      <c:barChart>
        <c:barDir val="bar"/>
        <c:grouping val="clustered"/>
        <c:varyColors val="1"/>
        <c:ser>
          <c:idx val="0"/>
          <c:order val="0"/>
          <c:tx>
            <c:strRef>
              <c:f>'Tableau de bord'!$C$58</c:f>
              <c:strCache>
                <c:ptCount val="1"/>
                <c:pt idx="0">
                  <c:v>OFF-2026-01</c:v>
                </c:pt>
              </c:strCache>
            </c:strRef>
          </c:tx>
          <c:spPr>
            <a:solidFill>
              <a:srgbClr val="2A78D6"/>
            </a:solidFill>
            <a:ln>
              <a:noFill/>
              <a:prstDash val="solid"/>
            </a:ln>
          </c:spPr>
          <c:invertIfNegative val="1"/>
          <c:cat>
            <c:strRef>
              <c:f>'Tableau de bord'!$B$59:$B$66</c:f>
              <c:strCache>
                <c:ptCount val="8"/>
                <c:pt idx="0">
                  <c:v>1. Candidature reçue</c:v>
                </c:pt>
                <c:pt idx="1">
                  <c:v>2. Présélection</c:v>
                </c:pt>
                <c:pt idx="2">
                  <c:v>3. Convocation au test</c:v>
                </c:pt>
                <c:pt idx="3">
                  <c:v>4. Test réalisé</c:v>
                </c:pt>
                <c:pt idx="4">
                  <c:v>5. Vérification des références</c:v>
                </c:pt>
                <c:pt idx="5">
                  <c:v>6. Décision du responsable RH</c:v>
                </c:pt>
                <c:pt idx="6">
                  <c:v>7. Offre et contractualisation</c:v>
                </c:pt>
                <c:pt idx="7">
                  <c:v>8. Intégration</c:v>
                </c:pt>
              </c:strCache>
            </c:strRef>
          </c:cat>
          <c:val>
            <c:numRef>
              <c:f>'Tableau de bord'!$C$59:$C$66</c:f>
              <c:numCache>
                <c:formatCode>General</c:formatCode>
                <c:ptCount val="8"/>
                <c:pt idx="0">
                  <c:v>5</c:v>
                </c:pt>
                <c:pt idx="1">
                  <c:v>5</c:v>
                </c:pt>
                <c:pt idx="2">
                  <c:v>3</c:v>
                </c:pt>
                <c:pt idx="3">
                  <c:v>3</c:v>
                </c:pt>
                <c:pt idx="4">
                  <c:v>2</c:v>
                </c:pt>
                <c:pt idx="5">
                  <c:v>2</c:v>
                </c:pt>
                <c:pt idx="6">
                  <c:v>1</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FCD-41E4-A62B-60E08D27C7B1}"/>
            </c:ext>
          </c:extLst>
        </c:ser>
        <c:ser>
          <c:idx val="1"/>
          <c:order val="1"/>
          <c:tx>
            <c:strRef>
              <c:f>'Tableau de bord'!$D$58</c:f>
              <c:strCache>
                <c:ptCount val="1"/>
                <c:pt idx="0">
                  <c:v>OFF-2026-02</c:v>
                </c:pt>
              </c:strCache>
            </c:strRef>
          </c:tx>
          <c:spPr>
            <a:solidFill>
              <a:srgbClr val="EB6834"/>
            </a:solidFill>
            <a:ln>
              <a:noFill/>
              <a:prstDash val="solid"/>
            </a:ln>
          </c:spPr>
          <c:invertIfNegative val="1"/>
          <c:cat>
            <c:strRef>
              <c:f>'Tableau de bord'!$B$59:$B$66</c:f>
              <c:strCache>
                <c:ptCount val="8"/>
                <c:pt idx="0">
                  <c:v>1. Candidature reçue</c:v>
                </c:pt>
                <c:pt idx="1">
                  <c:v>2. Présélection</c:v>
                </c:pt>
                <c:pt idx="2">
                  <c:v>3. Convocation au test</c:v>
                </c:pt>
                <c:pt idx="3">
                  <c:v>4. Test réalisé</c:v>
                </c:pt>
                <c:pt idx="4">
                  <c:v>5. Vérification des références</c:v>
                </c:pt>
                <c:pt idx="5">
                  <c:v>6. Décision du responsable RH</c:v>
                </c:pt>
                <c:pt idx="6">
                  <c:v>7. Offre et contractualisation</c:v>
                </c:pt>
                <c:pt idx="7">
                  <c:v>8. Intégration</c:v>
                </c:pt>
              </c:strCache>
            </c:strRef>
          </c:cat>
          <c:val>
            <c:numRef>
              <c:f>'Tableau de bord'!$D$59:$D$66</c:f>
              <c:numCache>
                <c:formatCode>General</c:formatCode>
                <c:ptCount val="8"/>
                <c:pt idx="0">
                  <c:v>5</c:v>
                </c:pt>
                <c:pt idx="1">
                  <c:v>5</c:v>
                </c:pt>
                <c:pt idx="2">
                  <c:v>4</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6FCD-41E4-A62B-60E08D27C7B1}"/>
            </c:ext>
          </c:extLst>
        </c:ser>
        <c:dLbls>
          <c:showLegendKey val="0"/>
          <c:showVal val="0"/>
          <c:showCatName val="0"/>
          <c:showSerName val="0"/>
          <c:showPercent val="0"/>
          <c:showBubbleSize val="0"/>
        </c:dLbls>
        <c:gapWidth val="6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D9D8D4"/>
              </a:solidFill>
              <a:prstDash val="solid"/>
            </a:ln>
          </c:spPr>
        </c:majorGridlines>
        <c:numFmt formatCode="General" sourceLinked="1"/>
        <c:majorTickMark val="none"/>
        <c:minorTickMark val="none"/>
        <c:tickLblPos val="nextTo"/>
        <c:crossAx val="10"/>
        <c:crosses val="max"/>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10</xdr:col>
      <xdr:colOff>0</xdr:colOff>
      <xdr:row>2</xdr:row>
      <xdr:rowOff>0</xdr:rowOff>
    </xdr:from>
    <xdr:ext cx="5760000" cy="288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19</xdr:row>
      <xdr:rowOff>0</xdr:rowOff>
    </xdr:from>
    <xdr:ext cx="5760000" cy="270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35</xdr:row>
      <xdr:rowOff>0</xdr:rowOff>
    </xdr:from>
    <xdr:ext cx="5760000" cy="2700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51</xdr:row>
      <xdr:rowOff>0</xdr:rowOff>
    </xdr:from>
    <xdr:ext cx="5760000" cy="2160000"/>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10</xdr:col>
      <xdr:colOff>0</xdr:colOff>
      <xdr:row>64</xdr:row>
      <xdr:rowOff>0</xdr:rowOff>
    </xdr:from>
    <xdr:ext cx="5760000" cy="3240000"/>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tables/table1.xml><?xml version="1.0" encoding="utf-8"?>
<table xmlns="http://schemas.openxmlformats.org/spreadsheetml/2006/main" id="1" name="tContrats" displayName="tContrats" ref="A3:H58">
  <autoFilter ref="A3:H58"/>
  <tableColumns count="8">
    <tableColumn id="1" name="Contrat"/>
    <tableColumn id="2" name="Matricule"/>
    <tableColumn id="3" name="Type"/>
    <tableColumn id="4" name="Durée (mois)"/>
    <tableColumn id="5" name="Début"/>
    <tableColumn id="6" name="Fin"/>
    <tableColumn id="7" name="Motif"/>
    <tableColumn id="8" name="Clé (calcul)"/>
  </tableColumns>
  <tableStyleInfo name="TableStyleMedium2" showFirstColumn="0" showLastColumn="0" showRowStripes="1" showColumnStripes="0"/>
</table>
</file>

<file path=xl/tables/table2.xml><?xml version="1.0" encoding="utf-8"?>
<table xmlns="http://schemas.openxmlformats.org/spreadsheetml/2006/main" id="2" name="tCollaborateurs" displayName="tCollaborateurs" ref="A3:N33">
  <autoFilter ref="A3:N33"/>
  <tableColumns count="14">
    <tableColumn id="1" name="Matricule"/>
    <tableColumn id="2" name="Nom"/>
    <tableColumn id="3" name="Poste"/>
    <tableColumn id="4" name="Département"/>
    <tableColumn id="5" name="Bureau"/>
    <tableColumn id="6" name="Date d'embauche"/>
    <tableColumn id="7" name="Date de sortie"/>
    <tableColumn id="8" name="Dans le filtre (1/0)"/>
    <tableColumn id="9" name="En poste à la date (1/0)"/>
    <tableColumn id="10" name="Début du contrat en vigueur"/>
    <tableColumn id="11" name="Type de contrat"/>
    <tableColumn id="12" name="Fin du contrat"/>
    <tableColumn id="13" name="Jours restants"/>
    <tableColumn id="14" name="Niveau d'alerte"/>
  </tableColumns>
  <tableStyleInfo name="TableStyleMedium2" showFirstColumn="0" showLastColumn="0" showRowStripes="1" showColumnStripes="0"/>
</table>
</file>

<file path=xl/tables/table3.xml><?xml version="1.0" encoding="utf-8"?>
<table xmlns="http://schemas.openxmlformats.org/spreadsheetml/2006/main" id="3" name="tAbsences" displayName="tAbsences" ref="A3:Y101">
  <autoFilter ref="A3:Y101"/>
  <tableColumns count="25">
    <tableColumn id="1" name="Absence"/>
    <tableColumn id="2" name="Matricule"/>
    <tableColumn id="3" name="Collaborateur"/>
    <tableColumn id="4" name="Catégorie"/>
    <tableColumn id="5" name="Début"/>
    <tableColumn id="6" name="Fin"/>
    <tableColumn id="7" name="Jours ouvrables"/>
    <tableColumn id="8" name="Statut"/>
    <tableColumn id="9" name="Département"/>
    <tableColumn id="10" name="Bureau"/>
    <tableColumn id="11" name="Dans le filtre (1/0)"/>
    <tableColumn id="12" name="Réalisée (1/0)"/>
    <tableColumn id="13" name="Jours 01"/>
    <tableColumn id="14" name="Jours 02"/>
    <tableColumn id="15" name="Jours 03"/>
    <tableColumn id="16" name="Jours 04"/>
    <tableColumn id="17" name="Jours 05"/>
    <tableColumn id="18" name="Jours 06"/>
    <tableColumn id="19" name="Jours 07"/>
    <tableColumn id="20" name="Jours 08"/>
    <tableColumn id="21" name="Jours 09"/>
    <tableColumn id="22" name="Jours 10"/>
    <tableColumn id="23" name="Jours 11"/>
    <tableColumn id="24" name="Jours 12"/>
    <tableColumn id="25" name="Jours année"/>
  </tableColumns>
  <tableStyleInfo name="TableStyleMedium2" showFirstColumn="0" showLastColumn="0" showRowStripes="1" showColumnStripes="0"/>
</table>
</file>

<file path=xl/tables/table4.xml><?xml version="1.0" encoding="utf-8"?>
<table xmlns="http://schemas.openxmlformats.org/spreadsheetml/2006/main" id="4" name="tStagiaires" displayName="tStagiaires" ref="A3:N9">
  <autoFilter ref="A3:N9"/>
  <tableColumns count="14">
    <tableColumn id="1" name="Stagiaire"/>
    <tableColumn id="2" name="Nom"/>
    <tableColumn id="3" name="Filière"/>
    <tableColumn id="4" name="Niveau"/>
    <tableColumn id="5" name="Département"/>
    <tableColumn id="6" name="Encadreur"/>
    <tableColumn id="7" name="Bureau de l'encadreur"/>
    <tableColumn id="8" name="Début"/>
    <tableColumn id="9" name="Fin"/>
    <tableColumn id="10" name="Évaluation enregistrée"/>
    <tableColumn id="11" name="Dans le filtre (1/0)"/>
    <tableColumn id="12" name="Statut à la date"/>
    <tableColumn id="13" name="Jours avant la fin"/>
    <tableColumn id="14" name="Évaluation finale"/>
  </tableColumns>
  <tableStyleInfo name="TableStyleMedium2" showFirstColumn="0" showLastColumn="0" showRowStripes="1" showColumnStripes="0"/>
</table>
</file>

<file path=xl/tables/table5.xml><?xml version="1.0" encoding="utf-8"?>
<table xmlns="http://schemas.openxmlformats.org/spreadsheetml/2006/main" id="5" name="tCandidatures" displayName="tCandidatures" ref="A3:D13">
  <autoFilter ref="A3:D13"/>
  <tableColumns count="4">
    <tableColumn id="1" name="Dossier"/>
    <tableColumn id="2" name="Offre"/>
    <tableColumn id="3" name="Date de candidature"/>
    <tableColumn id="4" name="Source"/>
  </tableColumns>
  <tableStyleInfo name="TableStyleMedium2" showFirstColumn="0" showLastColumn="0" showRowStripes="1" showColumnStripes="0"/>
</table>
</file>

<file path=xl/tables/table6.xml><?xml version="1.0" encoding="utf-8"?>
<table xmlns="http://schemas.openxmlformats.org/spreadsheetml/2006/main" id="6" name="tEtapes" displayName="tEtapes" ref="A3:H39">
  <autoFilter ref="A3:H39"/>
  <tableColumns count="8">
    <tableColumn id="1" name="Événement"/>
    <tableColumn id="2" name="Dossier"/>
    <tableColumn id="3" name="Offre"/>
    <tableColumn id="4" name="Étape"/>
    <tableColumn id="5" name="Libellé de l'étape"/>
    <tableColumn id="6" name="Date"/>
    <tableColumn id="7" name="Résultat"/>
    <tableColumn id="8" name="Enregistré p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showGridLines="0" workbookViewId="0"/>
  </sheetViews>
  <sheetFormatPr baseColWidth="10" defaultColWidth="9.140625" defaultRowHeight="15" x14ac:dyDescent="0.25"/>
  <cols>
    <col min="1" max="1" width="3" customWidth="1"/>
    <col min="2" max="2" width="110" customWidth="1"/>
  </cols>
  <sheetData>
    <row r="1" spans="1:2" ht="20.25" x14ac:dyDescent="0.3">
      <c r="A1" s="1"/>
      <c r="B1" s="2" t="s">
        <v>0</v>
      </c>
    </row>
    <row r="2" spans="1:2" x14ac:dyDescent="0.25">
      <c r="A2" s="3"/>
      <c r="B2" s="4" t="s">
        <v>1</v>
      </c>
    </row>
    <row r="4" spans="1:2" ht="21.95" customHeight="1" x14ac:dyDescent="0.25">
      <c r="B4" s="5" t="s">
        <v>2</v>
      </c>
    </row>
    <row r="5" spans="1:2" ht="25.5" x14ac:dyDescent="0.25">
      <c r="B5" s="6" t="s">
        <v>3</v>
      </c>
    </row>
    <row r="6" spans="1:2" ht="21.95" customHeight="1" x14ac:dyDescent="0.25">
      <c r="B6" s="5" t="s">
        <v>4</v>
      </c>
    </row>
    <row r="7" spans="1:2" x14ac:dyDescent="0.25">
      <c r="B7" s="6" t="s">
        <v>5</v>
      </c>
    </row>
    <row r="8" spans="1:2" x14ac:dyDescent="0.25">
      <c r="B8" s="6" t="s">
        <v>6</v>
      </c>
    </row>
    <row r="9" spans="1:2" ht="25.5" x14ac:dyDescent="0.25">
      <c r="B9" s="6" t="s">
        <v>7</v>
      </c>
    </row>
    <row r="10" spans="1:2" x14ac:dyDescent="0.25">
      <c r="B10" s="6" t="s">
        <v>8</v>
      </c>
    </row>
    <row r="11" spans="1:2" ht="21.95" customHeight="1" x14ac:dyDescent="0.25">
      <c r="B11" s="5" t="s">
        <v>9</v>
      </c>
    </row>
    <row r="12" spans="1:2" x14ac:dyDescent="0.25">
      <c r="B12" s="6" t="s">
        <v>10</v>
      </c>
    </row>
    <row r="13" spans="1:2" x14ac:dyDescent="0.25">
      <c r="B13" s="6" t="s">
        <v>11</v>
      </c>
    </row>
    <row r="14" spans="1:2" ht="25.5" x14ac:dyDescent="0.25">
      <c r="B14" s="6" t="s">
        <v>12</v>
      </c>
    </row>
    <row r="15" spans="1:2" ht="21.95" customHeight="1" x14ac:dyDescent="0.25">
      <c r="B15" s="5" t="s">
        <v>13</v>
      </c>
    </row>
    <row r="16" spans="1:2" x14ac:dyDescent="0.25">
      <c r="B16" s="6" t="s">
        <v>14</v>
      </c>
    </row>
    <row r="17" spans="2:2" x14ac:dyDescent="0.25">
      <c r="B17" s="6" t="s">
        <v>15</v>
      </c>
    </row>
    <row r="18" spans="2:2" ht="25.5" x14ac:dyDescent="0.25">
      <c r="B18" s="6" t="s">
        <v>16</v>
      </c>
    </row>
    <row r="19" spans="2:2" ht="25.5" x14ac:dyDescent="0.25">
      <c r="B19" s="6" t="s">
        <v>17</v>
      </c>
    </row>
    <row r="20" spans="2:2" ht="25.5" x14ac:dyDescent="0.25">
      <c r="B20" s="6" t="s">
        <v>18</v>
      </c>
    </row>
    <row r="21" spans="2:2" ht="21.95" customHeight="1" x14ac:dyDescent="0.25">
      <c r="B21" s="5" t="s">
        <v>19</v>
      </c>
    </row>
    <row r="22" spans="2:2" ht="25.5" x14ac:dyDescent="0.25">
      <c r="B22" s="6" t="s">
        <v>20</v>
      </c>
    </row>
    <row r="23" spans="2:2" x14ac:dyDescent="0.25">
      <c r="B23" s="6" t="s">
        <v>21</v>
      </c>
    </row>
    <row r="24" spans="2:2" ht="21.95" customHeight="1" x14ac:dyDescent="0.25">
      <c r="B24" s="5" t="s">
        <v>22</v>
      </c>
    </row>
    <row r="25" spans="2:2" ht="25.5" x14ac:dyDescent="0.25">
      <c r="B25" s="6"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7"/>
  <sheetViews>
    <sheetView showGridLines="0" workbookViewId="0">
      <pane ySplit="6" topLeftCell="A68" activePane="bottomLeft" state="frozen"/>
      <selection pane="bottomLeft" activeCell="D4" sqref="D4:E4"/>
    </sheetView>
  </sheetViews>
  <sheetFormatPr baseColWidth="10" defaultColWidth="9.140625" defaultRowHeight="15" x14ac:dyDescent="0.25"/>
  <cols>
    <col min="1" max="1" width="2" customWidth="1"/>
    <col min="2" max="2" width="36" customWidth="1"/>
    <col min="3" max="9" width="14" customWidth="1"/>
    <col min="10" max="10" width="3" customWidth="1"/>
  </cols>
  <sheetData>
    <row r="1" spans="2:9" ht="33.950000000000003" customHeight="1" x14ac:dyDescent="0.25">
      <c r="B1" s="38" t="s">
        <v>24</v>
      </c>
      <c r="C1" s="29"/>
      <c r="D1" s="29"/>
      <c r="E1" s="29"/>
      <c r="F1" s="29"/>
      <c r="G1" s="29"/>
      <c r="H1" s="29"/>
      <c r="I1" s="29"/>
    </row>
    <row r="2" spans="2:9" x14ac:dyDescent="0.25">
      <c r="B2" s="3" t="s">
        <v>1</v>
      </c>
    </row>
    <row r="4" spans="2:9" x14ac:dyDescent="0.25">
      <c r="B4" s="28" t="s">
        <v>25</v>
      </c>
      <c r="C4" s="29"/>
      <c r="D4" s="41">
        <v>46326</v>
      </c>
      <c r="E4" s="29"/>
      <c r="F4" s="40" t="s">
        <v>26</v>
      </c>
      <c r="G4" s="29"/>
      <c r="H4" s="29"/>
      <c r="I4" s="29"/>
    </row>
    <row r="5" spans="2:9" x14ac:dyDescent="0.25">
      <c r="B5" s="28" t="s">
        <v>27</v>
      </c>
      <c r="C5" s="29"/>
      <c r="D5" s="34" t="s">
        <v>28</v>
      </c>
      <c r="E5" s="29"/>
      <c r="F5" s="29"/>
      <c r="G5" s="29"/>
      <c r="H5" s="29"/>
      <c r="I5" s="29"/>
    </row>
    <row r="6" spans="2:9" x14ac:dyDescent="0.25">
      <c r="B6" s="28" t="s">
        <v>29</v>
      </c>
      <c r="C6" s="29"/>
      <c r="D6" s="34" t="s">
        <v>28</v>
      </c>
      <c r="E6" s="29"/>
      <c r="F6" s="29"/>
      <c r="G6" s="29"/>
      <c r="H6" s="29"/>
      <c r="I6" s="29"/>
    </row>
    <row r="8" spans="2:9" x14ac:dyDescent="0.25">
      <c r="B8" s="30" t="s">
        <v>30</v>
      </c>
      <c r="C8" s="31"/>
      <c r="D8" s="30" t="s">
        <v>31</v>
      </c>
      <c r="E8" s="31"/>
      <c r="F8" s="30" t="s">
        <v>32</v>
      </c>
      <c r="G8" s="31"/>
      <c r="H8" s="30" t="s">
        <v>33</v>
      </c>
      <c r="I8" s="31"/>
    </row>
    <row r="9" spans="2:9" ht="30" customHeight="1" x14ac:dyDescent="0.25">
      <c r="B9" s="37">
        <f>COUNTIFS(cl_perim,1,cl_present,1)</f>
        <v>27</v>
      </c>
      <c r="C9" s="31"/>
      <c r="D9" s="43">
        <f>IF(COUNTIFS(cl_perim,1,cl_present,1)=0,0,COUNTIFS(cl_perim,1,cl_present,1,cl_type,"CDD")/COUNTIFS(cl_perim,1,cl_present,1))</f>
        <v>0.25925925925925924</v>
      </c>
      <c r="E9" s="31"/>
      <c r="F9" s="37">
        <f>COUNTIFS(cl_perim,1,cl_alerte,NivUrgent)</f>
        <v>3</v>
      </c>
      <c r="G9" s="31"/>
      <c r="H9" s="37">
        <f>COUNTIFS(cl_perim,1,cl_alerte,NivEchu)</f>
        <v>0</v>
      </c>
      <c r="I9" s="31"/>
    </row>
    <row r="10" spans="2:9" ht="24" customHeight="1" x14ac:dyDescent="0.25">
      <c r="B10" s="35" t="s">
        <v>34</v>
      </c>
      <c r="C10" s="31"/>
      <c r="D10" s="35" t="s">
        <v>35</v>
      </c>
      <c r="E10" s="31"/>
      <c r="F10" s="35" t="s">
        <v>36</v>
      </c>
      <c r="G10" s="31"/>
      <c r="H10" s="35" t="s">
        <v>37</v>
      </c>
      <c r="I10" s="31"/>
    </row>
    <row r="12" spans="2:9" x14ac:dyDescent="0.25">
      <c r="B12" s="30" t="s">
        <v>38</v>
      </c>
      <c r="C12" s="31"/>
      <c r="D12" s="30" t="s">
        <v>39</v>
      </c>
      <c r="E12" s="31"/>
      <c r="F12" s="30" t="s">
        <v>40</v>
      </c>
      <c r="G12" s="31"/>
      <c r="H12" s="30" t="s">
        <v>41</v>
      </c>
      <c r="I12" s="31"/>
    </row>
    <row r="13" spans="2:9" ht="30" customHeight="1" x14ac:dyDescent="0.25">
      <c r="B13" s="37">
        <f>G46</f>
        <v>632</v>
      </c>
      <c r="C13" s="31"/>
      <c r="D13" s="39">
        <f>IF(H46=0,0,G46/H46)</f>
        <v>0.10514057561137914</v>
      </c>
      <c r="E13" s="31"/>
      <c r="F13" s="37">
        <f>COUNTIFS(st_perim,1,st_statut,"En cours")</f>
        <v>2</v>
      </c>
      <c r="G13" s="31"/>
      <c r="H13" s="37">
        <f>COUNTIFS(ab_perim,1,ab_statut,"En attente")</f>
        <v>1</v>
      </c>
      <c r="I13" s="31"/>
    </row>
    <row r="14" spans="2:9" ht="24" customHeight="1" x14ac:dyDescent="0.25">
      <c r="B14" s="35" t="s">
        <v>42</v>
      </c>
      <c r="C14" s="31"/>
      <c r="D14" s="35" t="s">
        <v>43</v>
      </c>
      <c r="E14" s="31"/>
      <c r="F14" s="35" t="s">
        <v>44</v>
      </c>
      <c r="G14" s="31"/>
      <c r="H14" s="35" t="s">
        <v>45</v>
      </c>
      <c r="I14" s="31"/>
    </row>
    <row r="16" spans="2:9" x14ac:dyDescent="0.25">
      <c r="B16" s="30" t="s">
        <v>46</v>
      </c>
      <c r="C16" s="31"/>
      <c r="D16" s="30" t="s">
        <v>47</v>
      </c>
      <c r="E16" s="31"/>
      <c r="F16" s="30" t="s">
        <v>48</v>
      </c>
      <c r="G16" s="31"/>
      <c r="H16" s="30" t="s">
        <v>49</v>
      </c>
      <c r="I16" s="31"/>
    </row>
    <row r="17" spans="2:9" ht="30" customHeight="1" x14ac:dyDescent="0.25">
      <c r="B17" s="37">
        <f>D46</f>
        <v>4</v>
      </c>
      <c r="C17" s="31"/>
      <c r="D17" s="37">
        <f>E46</f>
        <v>3</v>
      </c>
      <c r="E17" s="31"/>
      <c r="F17" s="39">
        <f>IF(AVERAGE(F34:F45)=0,0,E46/AVERAGE(F34:F45))</f>
        <v>0.10830324909747292</v>
      </c>
      <c r="G17" s="31"/>
      <c r="H17" s="37">
        <f>COUNTIFS(cd_date,"&lt;="&amp;DateSit)</f>
        <v>10</v>
      </c>
      <c r="I17" s="31"/>
    </row>
    <row r="18" spans="2:9" ht="24" customHeight="1" x14ac:dyDescent="0.25">
      <c r="B18" s="35" t="s">
        <v>50</v>
      </c>
      <c r="C18" s="31"/>
      <c r="D18" s="35" t="s">
        <v>51</v>
      </c>
      <c r="E18" s="31"/>
      <c r="F18" s="35" t="s">
        <v>52</v>
      </c>
      <c r="G18" s="31"/>
      <c r="H18" s="35" t="s">
        <v>53</v>
      </c>
      <c r="I18" s="31"/>
    </row>
    <row r="21" spans="2:9" x14ac:dyDescent="0.25">
      <c r="B21" s="8" t="s">
        <v>54</v>
      </c>
      <c r="C21" s="9"/>
      <c r="D21" s="9"/>
      <c r="E21" s="9"/>
      <c r="G21" s="8" t="s">
        <v>55</v>
      </c>
      <c r="H21" s="9"/>
      <c r="I21" s="9"/>
    </row>
    <row r="22" spans="2:9" x14ac:dyDescent="0.25">
      <c r="B22" s="10" t="s">
        <v>27</v>
      </c>
      <c r="C22" s="11" t="s">
        <v>56</v>
      </c>
      <c r="D22" s="11" t="s">
        <v>57</v>
      </c>
      <c r="E22" s="11" t="s">
        <v>58</v>
      </c>
      <c r="G22" s="42" t="s">
        <v>59</v>
      </c>
      <c r="H22" s="33"/>
      <c r="I22" s="11" t="s">
        <v>60</v>
      </c>
    </row>
    <row r="23" spans="2:9" x14ac:dyDescent="0.25">
      <c r="B23" s="12" t="s">
        <v>61</v>
      </c>
      <c r="C23" s="13">
        <f t="shared" ref="C23:C30" si="0">COUNTIFS(cl_dep,$B23,cl_present,1,cl_type,"CDI",cl_bur,IF(FiltreBur="Tous","*",FiltreBur))</f>
        <v>3</v>
      </c>
      <c r="D23" s="13">
        <f t="shared" ref="D23:D30" si="1">COUNTIFS(cl_dep,$B23,cl_present,1,cl_type,"CDD",cl_bur,IF(FiltreBur="Tous","*",FiltreBur))</f>
        <v>2</v>
      </c>
      <c r="E23" s="13">
        <f t="shared" ref="E23:E30" si="2">C23+D23</f>
        <v>5</v>
      </c>
      <c r="G23" s="32" t="str">
        <f>Paramètres!$I$4</f>
        <v>Échu, à régulariser</v>
      </c>
      <c r="H23" s="33"/>
      <c r="I23" s="13">
        <f t="shared" ref="I23:I28" si="3">COUNTIFS(cl_perim,1,cl_alerte,G23)</f>
        <v>0</v>
      </c>
    </row>
    <row r="24" spans="2:9" x14ac:dyDescent="0.25">
      <c r="B24" s="12" t="s">
        <v>62</v>
      </c>
      <c r="C24" s="13">
        <f t="shared" si="0"/>
        <v>2</v>
      </c>
      <c r="D24" s="13">
        <f t="shared" si="1"/>
        <v>0</v>
      </c>
      <c r="E24" s="13">
        <f t="shared" si="2"/>
        <v>2</v>
      </c>
      <c r="G24" s="32" t="str">
        <f>Paramètres!$I$5</f>
        <v>Urgent (≤ 30 jours)</v>
      </c>
      <c r="H24" s="33"/>
      <c r="I24" s="13">
        <f t="shared" si="3"/>
        <v>3</v>
      </c>
    </row>
    <row r="25" spans="2:9" x14ac:dyDescent="0.25">
      <c r="B25" s="12" t="s">
        <v>63</v>
      </c>
      <c r="C25" s="13">
        <f t="shared" si="0"/>
        <v>2</v>
      </c>
      <c r="D25" s="13">
        <f t="shared" si="1"/>
        <v>1</v>
      </c>
      <c r="E25" s="13">
        <f t="shared" si="2"/>
        <v>3</v>
      </c>
      <c r="G25" s="32" t="str">
        <f>Paramètres!$I$6</f>
        <v>À préparer (31 à 60 jours)</v>
      </c>
      <c r="H25" s="33"/>
      <c r="I25" s="13">
        <f t="shared" si="3"/>
        <v>0</v>
      </c>
    </row>
    <row r="26" spans="2:9" x14ac:dyDescent="0.25">
      <c r="B26" s="12" t="s">
        <v>64</v>
      </c>
      <c r="C26" s="13">
        <f t="shared" si="0"/>
        <v>1</v>
      </c>
      <c r="D26" s="13">
        <f t="shared" si="1"/>
        <v>0</v>
      </c>
      <c r="E26" s="13">
        <f t="shared" si="2"/>
        <v>1</v>
      </c>
      <c r="G26" s="32" t="str">
        <f>Paramètres!$I$7</f>
        <v>À surveiller (61 à 90 jours)</v>
      </c>
      <c r="H26" s="33"/>
      <c r="I26" s="13">
        <f t="shared" si="3"/>
        <v>1</v>
      </c>
    </row>
    <row r="27" spans="2:9" x14ac:dyDescent="0.25">
      <c r="B27" s="12" t="s">
        <v>65</v>
      </c>
      <c r="C27" s="13">
        <f t="shared" si="0"/>
        <v>5</v>
      </c>
      <c r="D27" s="13">
        <f t="shared" si="1"/>
        <v>1</v>
      </c>
      <c r="E27" s="13">
        <f t="shared" si="2"/>
        <v>6</v>
      </c>
      <c r="G27" s="32" t="str">
        <f>Paramètres!$I$8</f>
        <v>RAS (&gt; 90 jours)</v>
      </c>
      <c r="H27" s="33"/>
      <c r="I27" s="13">
        <f t="shared" si="3"/>
        <v>3</v>
      </c>
    </row>
    <row r="28" spans="2:9" x14ac:dyDescent="0.25">
      <c r="B28" s="12" t="s">
        <v>66</v>
      </c>
      <c r="C28" s="13">
        <f t="shared" si="0"/>
        <v>5</v>
      </c>
      <c r="D28" s="13">
        <f t="shared" si="1"/>
        <v>2</v>
      </c>
      <c r="E28" s="13">
        <f t="shared" si="2"/>
        <v>7</v>
      </c>
      <c r="G28" s="32" t="str">
        <f>Paramètres!$I$9</f>
        <v>Sans échéance (CDI)</v>
      </c>
      <c r="H28" s="33"/>
      <c r="I28" s="13">
        <f t="shared" si="3"/>
        <v>20</v>
      </c>
    </row>
    <row r="29" spans="2:9" x14ac:dyDescent="0.25">
      <c r="B29" s="12" t="s">
        <v>67</v>
      </c>
      <c r="C29" s="13">
        <f t="shared" si="0"/>
        <v>1</v>
      </c>
      <c r="D29" s="13">
        <f t="shared" si="1"/>
        <v>1</v>
      </c>
      <c r="E29" s="13">
        <f t="shared" si="2"/>
        <v>2</v>
      </c>
    </row>
    <row r="30" spans="2:9" x14ac:dyDescent="0.25">
      <c r="B30" s="12" t="s">
        <v>68</v>
      </c>
      <c r="C30" s="13">
        <f t="shared" si="0"/>
        <v>1</v>
      </c>
      <c r="D30" s="13">
        <f t="shared" si="1"/>
        <v>0</v>
      </c>
      <c r="E30" s="13">
        <f t="shared" si="2"/>
        <v>1</v>
      </c>
      <c r="G30" s="14" t="s">
        <v>69</v>
      </c>
    </row>
    <row r="31" spans="2:9" x14ac:dyDescent="0.25">
      <c r="B31" s="15" t="s">
        <v>58</v>
      </c>
      <c r="C31" s="16">
        <f>SUM(C23:C30)</f>
        <v>20</v>
      </c>
      <c r="D31" s="16">
        <f>SUM(D23:D30)</f>
        <v>7</v>
      </c>
      <c r="E31" s="16">
        <f>SUM(E23:E30)</f>
        <v>27</v>
      </c>
    </row>
    <row r="32" spans="2:9" x14ac:dyDescent="0.25">
      <c r="B32" s="8" t="s">
        <v>70</v>
      </c>
      <c r="C32" s="9"/>
      <c r="D32" s="9"/>
      <c r="E32" s="9"/>
      <c r="F32" s="9"/>
      <c r="G32" s="9"/>
      <c r="H32" s="9"/>
      <c r="I32" s="9"/>
    </row>
    <row r="33" spans="2:9" ht="42" customHeight="1" x14ac:dyDescent="0.25">
      <c r="B33" s="10" t="s">
        <v>71</v>
      </c>
      <c r="C33" s="11" t="s">
        <v>72</v>
      </c>
      <c r="D33" s="11" t="s">
        <v>73</v>
      </c>
      <c r="E33" s="11" t="s">
        <v>74</v>
      </c>
      <c r="F33" s="11" t="s">
        <v>75</v>
      </c>
      <c r="G33" s="11" t="s">
        <v>76</v>
      </c>
      <c r="H33" s="11" t="s">
        <v>77</v>
      </c>
      <c r="I33" s="11" t="s">
        <v>39</v>
      </c>
    </row>
    <row r="34" spans="2:9" x14ac:dyDescent="0.25">
      <c r="B34" s="17">
        <f>DATE(YEAR(DateSit),1,1)</f>
        <v>46023</v>
      </c>
      <c r="C34" s="13">
        <f t="shared" ref="C34:C45" si="4">IF($B34&gt;DateSit,"",COUNTIFS(cl_perim,1,cl_emb,"&lt;="&amp;($B34-1))-COUNTIFS(cl_perim,1,cl_emb,"&lt;="&amp;($B34-1),cl_sortie,"&lt;="&amp;($B34-1)))</f>
        <v>26</v>
      </c>
      <c r="D34" s="13">
        <f t="shared" ref="D34:D45" si="5">IF($B34&gt;DateSit,"",COUNTIFS(cl_perim,1,cl_emb,"&gt;="&amp;$B34,cl_emb,"&lt;="&amp;MIN(EOMONTH($B34,0),DateSit)))</f>
        <v>1</v>
      </c>
      <c r="E34" s="13">
        <f t="shared" ref="E34:E45" si="6">IF($B34&gt;DateSit,"",COUNTIFS(cl_perim,1,cl_sortie,"&gt;="&amp;$B34,cl_sortie,"&lt;="&amp;MIN(EOMONTH($B34,0),DateSit)))</f>
        <v>0</v>
      </c>
      <c r="F34" s="13">
        <f t="shared" ref="F34:F45" si="7">IF($B34&gt;DateSit,"",COUNTIFS(cl_perim,1,cl_emb,"&lt;="&amp;MIN(EOMONTH($B34,0),DateSit))-COUNTIFS(cl_perim,1,cl_emb,"&lt;="&amp;MIN(EOMONTH($B34,0),DateSit),cl_sortie,"&lt;="&amp;MIN(EOMONTH($B34,0),DateSit)))</f>
        <v>27</v>
      </c>
      <c r="G34" s="13">
        <f>IF($B34&gt;DateSit,"",SUMIFS(INDEX(ab_mois,0,1),ab_perim,1))</f>
        <v>26</v>
      </c>
      <c r="H34" s="18">
        <f t="shared" ref="H34:H45" si="8">IF($B34&gt;DateSit,"",F34*NETWORKDAYS($B34,MIN(EOMONTH($B34,0),DateSit)))</f>
        <v>594</v>
      </c>
      <c r="I34" s="19">
        <f t="shared" ref="I34:I45" si="9">IF(OR(H34="",H34=0),"",G34/H34)</f>
        <v>4.3771043771043773E-2</v>
      </c>
    </row>
    <row r="35" spans="2:9" x14ac:dyDescent="0.25">
      <c r="B35" s="17">
        <f>DATE(YEAR(DateSit),2,1)</f>
        <v>46054</v>
      </c>
      <c r="C35" s="13">
        <f t="shared" si="4"/>
        <v>27</v>
      </c>
      <c r="D35" s="13">
        <f t="shared" si="5"/>
        <v>0</v>
      </c>
      <c r="E35" s="13">
        <f t="shared" si="6"/>
        <v>0</v>
      </c>
      <c r="F35" s="13">
        <f t="shared" si="7"/>
        <v>27</v>
      </c>
      <c r="G35" s="13">
        <f>IF($B35&gt;DateSit,"",SUMIFS(INDEX(ab_mois,0,2),ab_perim,1))</f>
        <v>29</v>
      </c>
      <c r="H35" s="18">
        <f t="shared" si="8"/>
        <v>540</v>
      </c>
      <c r="I35" s="19">
        <f t="shared" si="9"/>
        <v>5.3703703703703705E-2</v>
      </c>
    </row>
    <row r="36" spans="2:9" x14ac:dyDescent="0.25">
      <c r="B36" s="17">
        <f>DATE(YEAR(DateSit),3,1)</f>
        <v>46082</v>
      </c>
      <c r="C36" s="13">
        <f t="shared" si="4"/>
        <v>27</v>
      </c>
      <c r="D36" s="13">
        <f t="shared" si="5"/>
        <v>1</v>
      </c>
      <c r="E36" s="13">
        <f t="shared" si="6"/>
        <v>1</v>
      </c>
      <c r="F36" s="13">
        <f t="shared" si="7"/>
        <v>27</v>
      </c>
      <c r="G36" s="13">
        <f>IF($B36&gt;DateSit,"",SUMIFS(INDEX(ab_mois,0,3),ab_perim,1))</f>
        <v>112</v>
      </c>
      <c r="H36" s="18">
        <f t="shared" si="8"/>
        <v>594</v>
      </c>
      <c r="I36" s="19">
        <f t="shared" si="9"/>
        <v>0.18855218855218855</v>
      </c>
    </row>
    <row r="37" spans="2:9" x14ac:dyDescent="0.25">
      <c r="B37" s="17">
        <f>DATE(YEAR(DateSit),4,1)</f>
        <v>46113</v>
      </c>
      <c r="C37" s="13">
        <f t="shared" si="4"/>
        <v>27</v>
      </c>
      <c r="D37" s="13">
        <f t="shared" si="5"/>
        <v>2</v>
      </c>
      <c r="E37" s="13">
        <f t="shared" si="6"/>
        <v>0</v>
      </c>
      <c r="F37" s="13">
        <f t="shared" si="7"/>
        <v>29</v>
      </c>
      <c r="G37" s="13">
        <f>IF($B37&gt;DateSit,"",SUMIFS(INDEX(ab_mois,0,4),ab_perim,1))</f>
        <v>73</v>
      </c>
      <c r="H37" s="18">
        <f t="shared" si="8"/>
        <v>638</v>
      </c>
      <c r="I37" s="19">
        <f t="shared" si="9"/>
        <v>0.11442006269592477</v>
      </c>
    </row>
    <row r="38" spans="2:9" x14ac:dyDescent="0.25">
      <c r="B38" s="17">
        <f>DATE(YEAR(DateSit),5,1)</f>
        <v>46143</v>
      </c>
      <c r="C38" s="13">
        <f t="shared" si="4"/>
        <v>29</v>
      </c>
      <c r="D38" s="13">
        <f t="shared" si="5"/>
        <v>0</v>
      </c>
      <c r="E38" s="13">
        <f t="shared" si="6"/>
        <v>0</v>
      </c>
      <c r="F38" s="13">
        <f t="shared" si="7"/>
        <v>29</v>
      </c>
      <c r="G38" s="13">
        <f>IF($B38&gt;DateSit,"",SUMIFS(INDEX(ab_mois,0,5),ab_perim,1))</f>
        <v>48</v>
      </c>
      <c r="H38" s="18">
        <f t="shared" si="8"/>
        <v>609</v>
      </c>
      <c r="I38" s="19">
        <f t="shared" si="9"/>
        <v>7.8817733990147784E-2</v>
      </c>
    </row>
    <row r="39" spans="2:9" x14ac:dyDescent="0.25">
      <c r="B39" s="17">
        <f>DATE(YEAR(DateSit),6,1)</f>
        <v>46174</v>
      </c>
      <c r="C39" s="13">
        <f t="shared" si="4"/>
        <v>29</v>
      </c>
      <c r="D39" s="13">
        <f t="shared" si="5"/>
        <v>0</v>
      </c>
      <c r="E39" s="13">
        <f t="shared" si="6"/>
        <v>1</v>
      </c>
      <c r="F39" s="13">
        <f t="shared" si="7"/>
        <v>28</v>
      </c>
      <c r="G39" s="13">
        <f>IF($B39&gt;DateSit,"",SUMIFS(INDEX(ab_mois,0,6),ab_perim,1))</f>
        <v>54</v>
      </c>
      <c r="H39" s="18">
        <f t="shared" si="8"/>
        <v>616</v>
      </c>
      <c r="I39" s="19">
        <f t="shared" si="9"/>
        <v>8.7662337662337664E-2</v>
      </c>
    </row>
    <row r="40" spans="2:9" x14ac:dyDescent="0.25">
      <c r="B40" s="17">
        <f>DATE(YEAR(DateSit),7,1)</f>
        <v>46204</v>
      </c>
      <c r="C40" s="13">
        <f t="shared" si="4"/>
        <v>28</v>
      </c>
      <c r="D40" s="13">
        <f t="shared" si="5"/>
        <v>0</v>
      </c>
      <c r="E40" s="13">
        <f t="shared" si="6"/>
        <v>0</v>
      </c>
      <c r="F40" s="13">
        <f t="shared" si="7"/>
        <v>28</v>
      </c>
      <c r="G40" s="13">
        <f>IF($B40&gt;DateSit,"",SUMIFS(INDEX(ab_mois,0,7),ab_perim,1))</f>
        <v>61</v>
      </c>
      <c r="H40" s="18">
        <f t="shared" si="8"/>
        <v>644</v>
      </c>
      <c r="I40" s="19">
        <f t="shared" si="9"/>
        <v>9.4720496894409936E-2</v>
      </c>
    </row>
    <row r="41" spans="2:9" x14ac:dyDescent="0.25">
      <c r="B41" s="17">
        <f>DATE(YEAR(DateSit),8,1)</f>
        <v>46235</v>
      </c>
      <c r="C41" s="13">
        <f t="shared" si="4"/>
        <v>28</v>
      </c>
      <c r="D41" s="13">
        <f t="shared" si="5"/>
        <v>0</v>
      </c>
      <c r="E41" s="13">
        <f t="shared" si="6"/>
        <v>0</v>
      </c>
      <c r="F41" s="13">
        <f t="shared" si="7"/>
        <v>28</v>
      </c>
      <c r="G41" s="13">
        <f>IF($B41&gt;DateSit,"",SUMIFS(INDEX(ab_mois,0,8),ab_perim,1))</f>
        <v>41</v>
      </c>
      <c r="H41" s="18">
        <f t="shared" si="8"/>
        <v>588</v>
      </c>
      <c r="I41" s="19">
        <f t="shared" si="9"/>
        <v>6.9727891156462579E-2</v>
      </c>
    </row>
    <row r="42" spans="2:9" x14ac:dyDescent="0.25">
      <c r="B42" s="17">
        <f>DATE(YEAR(DateSit),9,1)</f>
        <v>46266</v>
      </c>
      <c r="C42" s="13">
        <f t="shared" si="4"/>
        <v>28</v>
      </c>
      <c r="D42" s="13">
        <f t="shared" si="5"/>
        <v>0</v>
      </c>
      <c r="E42" s="13">
        <f t="shared" si="6"/>
        <v>1</v>
      </c>
      <c r="F42" s="13">
        <f t="shared" si="7"/>
        <v>27</v>
      </c>
      <c r="G42" s="13">
        <f>IF($B42&gt;DateSit,"",SUMIFS(INDEX(ab_mois,0,9),ab_perim,1))</f>
        <v>91</v>
      </c>
      <c r="H42" s="18">
        <f t="shared" si="8"/>
        <v>594</v>
      </c>
      <c r="I42" s="19">
        <f t="shared" si="9"/>
        <v>0.1531986531986532</v>
      </c>
    </row>
    <row r="43" spans="2:9" x14ac:dyDescent="0.25">
      <c r="B43" s="17">
        <f>DATE(YEAR(DateSit),10,1)</f>
        <v>46296</v>
      </c>
      <c r="C43" s="13">
        <f t="shared" si="4"/>
        <v>27</v>
      </c>
      <c r="D43" s="13">
        <f t="shared" si="5"/>
        <v>0</v>
      </c>
      <c r="E43" s="13">
        <f t="shared" si="6"/>
        <v>0</v>
      </c>
      <c r="F43" s="13">
        <f t="shared" si="7"/>
        <v>27</v>
      </c>
      <c r="G43" s="13">
        <f>IF($B43&gt;DateSit,"",SUMIFS(INDEX(ab_mois,0,10),ab_perim,1))</f>
        <v>97</v>
      </c>
      <c r="H43" s="18">
        <f t="shared" si="8"/>
        <v>594</v>
      </c>
      <c r="I43" s="19">
        <f t="shared" si="9"/>
        <v>0.16329966329966331</v>
      </c>
    </row>
    <row r="44" spans="2:9" x14ac:dyDescent="0.25">
      <c r="B44" s="17">
        <f>DATE(YEAR(DateSit),11,1)</f>
        <v>46327</v>
      </c>
      <c r="C44" s="13" t="str">
        <f t="shared" si="4"/>
        <v/>
      </c>
      <c r="D44" s="13" t="str">
        <f t="shared" si="5"/>
        <v/>
      </c>
      <c r="E44" s="13" t="str">
        <f t="shared" si="6"/>
        <v/>
      </c>
      <c r="F44" s="13" t="str">
        <f t="shared" si="7"/>
        <v/>
      </c>
      <c r="G44" s="13" t="str">
        <f>IF($B44&gt;DateSit,"",SUMIFS(INDEX(ab_mois,0,11),ab_perim,1))</f>
        <v/>
      </c>
      <c r="H44" s="18" t="str">
        <f t="shared" si="8"/>
        <v/>
      </c>
      <c r="I44" s="19" t="str">
        <f t="shared" si="9"/>
        <v/>
      </c>
    </row>
    <row r="45" spans="2:9" x14ac:dyDescent="0.25">
      <c r="B45" s="17">
        <f>DATE(YEAR(DateSit),12,1)</f>
        <v>46357</v>
      </c>
      <c r="C45" s="13" t="str">
        <f t="shared" si="4"/>
        <v/>
      </c>
      <c r="D45" s="13" t="str">
        <f t="shared" si="5"/>
        <v/>
      </c>
      <c r="E45" s="13" t="str">
        <f t="shared" si="6"/>
        <v/>
      </c>
      <c r="F45" s="13" t="str">
        <f t="shared" si="7"/>
        <v/>
      </c>
      <c r="G45" s="13" t="str">
        <f>IF($B45&gt;DateSit,"",SUMIFS(INDEX(ab_mois,0,12),ab_perim,1))</f>
        <v/>
      </c>
      <c r="H45" s="18" t="str">
        <f t="shared" si="8"/>
        <v/>
      </c>
      <c r="I45" s="19" t="str">
        <f t="shared" si="9"/>
        <v/>
      </c>
    </row>
    <row r="46" spans="2:9" x14ac:dyDescent="0.25">
      <c r="B46" s="20" t="s">
        <v>78</v>
      </c>
      <c r="C46" s="13"/>
      <c r="D46" s="13">
        <f>SUM(D34:D45)</f>
        <v>4</v>
      </c>
      <c r="E46" s="13">
        <f>SUM(E34:E45)</f>
        <v>3</v>
      </c>
      <c r="F46" s="13"/>
      <c r="G46" s="13">
        <f>SUM(G34:G45)</f>
        <v>632</v>
      </c>
      <c r="H46" s="18">
        <f>SUM(H34:H45)</f>
        <v>6011</v>
      </c>
      <c r="I46" s="19">
        <f>IF(H46=0,"",G46/H46)</f>
        <v>0.10514057561137914</v>
      </c>
    </row>
    <row r="47" spans="2:9" x14ac:dyDescent="0.25">
      <c r="B47" s="14" t="s">
        <v>79</v>
      </c>
    </row>
    <row r="49" spans="2:9" x14ac:dyDescent="0.25">
      <c r="B49" s="8" t="s">
        <v>80</v>
      </c>
      <c r="C49" s="9"/>
      <c r="D49" s="9"/>
      <c r="G49" s="8" t="s">
        <v>81</v>
      </c>
      <c r="H49" s="9"/>
      <c r="I49" s="9"/>
    </row>
    <row r="50" spans="2:9" x14ac:dyDescent="0.25">
      <c r="B50" s="10" t="s">
        <v>82</v>
      </c>
      <c r="C50" s="11" t="s">
        <v>83</v>
      </c>
      <c r="D50" s="11" t="s">
        <v>84</v>
      </c>
      <c r="G50" s="36" t="s">
        <v>85</v>
      </c>
      <c r="H50" s="33"/>
      <c r="I50" s="11" t="s">
        <v>86</v>
      </c>
    </row>
    <row r="51" spans="2:9" x14ac:dyDescent="0.25">
      <c r="B51" s="12" t="s">
        <v>87</v>
      </c>
      <c r="C51" s="18">
        <f>SUMIFS(ab_total,ab_perim,1,ab_cat,$B51)</f>
        <v>455</v>
      </c>
      <c r="D51" s="19">
        <f>IF(SUM($C$51:$C$54)=0,0,C51/SUM($C$51:$C$54))</f>
        <v>0.71993670886075944</v>
      </c>
      <c r="G51" s="32" t="str">
        <f>Paramètres!$H$4</f>
        <v>En cours</v>
      </c>
      <c r="H51" s="33"/>
      <c r="I51" s="13">
        <f>COUNTIFS(st_perim,1,st_statut,G51)</f>
        <v>2</v>
      </c>
    </row>
    <row r="52" spans="2:9" x14ac:dyDescent="0.25">
      <c r="B52" s="12" t="s">
        <v>88</v>
      </c>
      <c r="C52" s="18">
        <f>SUMIFS(ab_total,ab_perim,1,ab_cat,$B52)</f>
        <v>16</v>
      </c>
      <c r="D52" s="19">
        <f>IF(SUM($C$51:$C$54)=0,0,C52/SUM($C$51:$C$54))</f>
        <v>2.5316455696202531E-2</v>
      </c>
      <c r="G52" s="32" t="str">
        <f>Paramètres!$H$5</f>
        <v>À venir</v>
      </c>
      <c r="H52" s="33"/>
      <c r="I52" s="13">
        <f>COUNTIFS(st_perim,1,st_statut,G52)</f>
        <v>1</v>
      </c>
    </row>
    <row r="53" spans="2:9" x14ac:dyDescent="0.25">
      <c r="B53" s="12" t="s">
        <v>89</v>
      </c>
      <c r="C53" s="18">
        <f>SUMIFS(ab_total,ab_perim,1,ab_cat,$B53)</f>
        <v>2</v>
      </c>
      <c r="D53" s="19">
        <f>IF(SUM($C$51:$C$54)=0,0,C53/SUM($C$51:$C$54))</f>
        <v>3.1645569620253164E-3</v>
      </c>
      <c r="G53" s="32" t="str">
        <f>Paramètres!$H$6</f>
        <v>Terminé</v>
      </c>
      <c r="H53" s="33"/>
      <c r="I53" s="13">
        <f>COUNTIFS(st_perim,1,st_statut,G53)</f>
        <v>3</v>
      </c>
    </row>
    <row r="54" spans="2:9" x14ac:dyDescent="0.25">
      <c r="B54" s="12" t="s">
        <v>90</v>
      </c>
      <c r="C54" s="18">
        <f>SUMIFS(ab_total,ab_perim,1,ab_cat,$B54)</f>
        <v>159</v>
      </c>
      <c r="D54" s="19">
        <f>IF(SUM($C$51:$C$54)=0,0,C54/SUM($C$51:$C$54))</f>
        <v>0.25158227848101267</v>
      </c>
    </row>
    <row r="57" spans="2:9" x14ac:dyDescent="0.25">
      <c r="B57" s="8" t="s">
        <v>91</v>
      </c>
      <c r="C57" s="9"/>
      <c r="D57" s="9"/>
      <c r="E57" s="9"/>
    </row>
    <row r="58" spans="2:9" x14ac:dyDescent="0.25">
      <c r="B58" s="10" t="s">
        <v>92</v>
      </c>
      <c r="C58" s="11" t="s">
        <v>93</v>
      </c>
      <c r="D58" s="11" t="s">
        <v>94</v>
      </c>
    </row>
    <row r="59" spans="2:9" x14ac:dyDescent="0.25">
      <c r="B59" s="12" t="s">
        <v>95</v>
      </c>
      <c r="C59" s="13">
        <f>COUNTIFS(ev_offre,C$58,ev_etape,1,ev_res,"&lt;&gt;Désistement",ev_date,"&lt;="&amp;DateSit)</f>
        <v>5</v>
      </c>
      <c r="D59" s="13">
        <f>COUNTIFS(ev_offre,D$58,ev_etape,1,ev_res,"&lt;&gt;Désistement",ev_date,"&lt;="&amp;DateSit)</f>
        <v>5</v>
      </c>
    </row>
    <row r="60" spans="2:9" x14ac:dyDescent="0.25">
      <c r="B60" s="12" t="s">
        <v>96</v>
      </c>
      <c r="C60" s="13">
        <f>COUNTIFS(ev_offre,C$58,ev_etape,2,ev_res,"&lt;&gt;Désistement",ev_date,"&lt;="&amp;DateSit)</f>
        <v>5</v>
      </c>
      <c r="D60" s="13">
        <f>COUNTIFS(ev_offre,D$58,ev_etape,2,ev_res,"&lt;&gt;Désistement",ev_date,"&lt;="&amp;DateSit)</f>
        <v>5</v>
      </c>
    </row>
    <row r="61" spans="2:9" x14ac:dyDescent="0.25">
      <c r="B61" s="12" t="s">
        <v>97</v>
      </c>
      <c r="C61" s="13">
        <f>COUNTIFS(ev_offre,C$58,ev_etape,3,ev_res,"&lt;&gt;Désistement",ev_date,"&lt;="&amp;DateSit)</f>
        <v>3</v>
      </c>
      <c r="D61" s="13">
        <f>COUNTIFS(ev_offre,D$58,ev_etape,3,ev_res,"&lt;&gt;Désistement",ev_date,"&lt;="&amp;DateSit)</f>
        <v>4</v>
      </c>
    </row>
    <row r="62" spans="2:9" x14ac:dyDescent="0.25">
      <c r="B62" s="12" t="s">
        <v>98</v>
      </c>
      <c r="C62" s="13">
        <f>COUNTIFS(ev_offre,C$58,ev_etape,4,ev_res,"&lt;&gt;Désistement",ev_date,"&lt;="&amp;DateSit)</f>
        <v>3</v>
      </c>
      <c r="D62" s="13">
        <f>COUNTIFS(ev_offre,D$58,ev_etape,4,ev_res,"&lt;&gt;Désistement",ev_date,"&lt;="&amp;DateSit)</f>
        <v>0</v>
      </c>
    </row>
    <row r="63" spans="2:9" x14ac:dyDescent="0.25">
      <c r="B63" s="12" t="s">
        <v>99</v>
      </c>
      <c r="C63" s="13">
        <f>COUNTIFS(ev_offre,C$58,ev_etape,5,ev_res,"&lt;&gt;Désistement",ev_date,"&lt;="&amp;DateSit)</f>
        <v>2</v>
      </c>
      <c r="D63" s="13">
        <f>COUNTIFS(ev_offre,D$58,ev_etape,5,ev_res,"&lt;&gt;Désistement",ev_date,"&lt;="&amp;DateSit)</f>
        <v>0</v>
      </c>
    </row>
    <row r="64" spans="2:9" x14ac:dyDescent="0.25">
      <c r="B64" s="12" t="s">
        <v>100</v>
      </c>
      <c r="C64" s="13">
        <f>COUNTIFS(ev_offre,C$58,ev_etape,6,ev_res,"&lt;&gt;Désistement",ev_date,"&lt;="&amp;DateSit)</f>
        <v>2</v>
      </c>
      <c r="D64" s="13">
        <f>COUNTIFS(ev_offre,D$58,ev_etape,6,ev_res,"&lt;&gt;Désistement",ev_date,"&lt;="&amp;DateSit)</f>
        <v>0</v>
      </c>
    </row>
    <row r="65" spans="2:4" x14ac:dyDescent="0.25">
      <c r="B65" s="12" t="s">
        <v>101</v>
      </c>
      <c r="C65" s="13">
        <f>COUNTIFS(ev_offre,C$58,ev_etape,7,ev_res,"&lt;&gt;Désistement",ev_date,"&lt;="&amp;DateSit)</f>
        <v>1</v>
      </c>
      <c r="D65" s="13">
        <f>COUNTIFS(ev_offre,D$58,ev_etape,7,ev_res,"&lt;&gt;Désistement",ev_date,"&lt;="&amp;DateSit)</f>
        <v>0</v>
      </c>
    </row>
    <row r="66" spans="2:4" x14ac:dyDescent="0.25">
      <c r="B66" s="12" t="s">
        <v>102</v>
      </c>
      <c r="C66" s="13">
        <f>COUNTIFS(ev_offre,C$58,ev_etape,8,ev_res,"&lt;&gt;Désistement",ev_date,"&lt;="&amp;DateSit)</f>
        <v>0</v>
      </c>
      <c r="D66" s="13">
        <f>COUNTIFS(ev_offre,D$58,ev_etape,8,ev_res,"&lt;&gt;Désistement",ev_date,"&lt;="&amp;DateSit)</f>
        <v>0</v>
      </c>
    </row>
    <row r="67" spans="2:4" x14ac:dyDescent="0.25">
      <c r="C67" s="14" t="s">
        <v>103</v>
      </c>
      <c r="D67" s="14" t="s">
        <v>104</v>
      </c>
    </row>
  </sheetData>
  <mergeCells count="55">
    <mergeCell ref="D8:E8"/>
    <mergeCell ref="B16:C16"/>
    <mergeCell ref="D10:E10"/>
    <mergeCell ref="G52:H52"/>
    <mergeCell ref="F10:G10"/>
    <mergeCell ref="F16:G16"/>
    <mergeCell ref="H10:I10"/>
    <mergeCell ref="G27:H27"/>
    <mergeCell ref="G23:H23"/>
    <mergeCell ref="B18:C18"/>
    <mergeCell ref="G28:H28"/>
    <mergeCell ref="G26:H26"/>
    <mergeCell ref="G22:H22"/>
    <mergeCell ref="D13:E13"/>
    <mergeCell ref="F18:G18"/>
    <mergeCell ref="B14:C14"/>
    <mergeCell ref="B9:C9"/>
    <mergeCell ref="D18:E18"/>
    <mergeCell ref="D9:E9"/>
    <mergeCell ref="H13:I13"/>
    <mergeCell ref="H14:I14"/>
    <mergeCell ref="F9:G9"/>
    <mergeCell ref="D12:E12"/>
    <mergeCell ref="G53:H53"/>
    <mergeCell ref="B17:C17"/>
    <mergeCell ref="B8:C8"/>
    <mergeCell ref="B1:I1"/>
    <mergeCell ref="D17:E17"/>
    <mergeCell ref="F17:G17"/>
    <mergeCell ref="F8:G8"/>
    <mergeCell ref="B13:C13"/>
    <mergeCell ref="H17:I17"/>
    <mergeCell ref="F4:I6"/>
    <mergeCell ref="D16:E16"/>
    <mergeCell ref="H16:I16"/>
    <mergeCell ref="G24:H24"/>
    <mergeCell ref="B10:C10"/>
    <mergeCell ref="D4:E4"/>
    <mergeCell ref="F13:G13"/>
    <mergeCell ref="B4:C4"/>
    <mergeCell ref="B6:C6"/>
    <mergeCell ref="H12:I12"/>
    <mergeCell ref="G51:H51"/>
    <mergeCell ref="B5:C5"/>
    <mergeCell ref="G25:H25"/>
    <mergeCell ref="D5:E5"/>
    <mergeCell ref="H18:I18"/>
    <mergeCell ref="D14:E14"/>
    <mergeCell ref="G50:H50"/>
    <mergeCell ref="F14:G14"/>
    <mergeCell ref="H8:I8"/>
    <mergeCell ref="H9:I9"/>
    <mergeCell ref="B12:C12"/>
    <mergeCell ref="D6:E6"/>
    <mergeCell ref="F12:G12"/>
  </mergeCells>
  <conditionalFormatting sqref="G23:I28">
    <cfRule type="cellIs" dxfId="5" priority="1" operator="equal">
      <formula>"Échu, à régulariser"</formula>
    </cfRule>
    <cfRule type="cellIs" dxfId="4" priority="2" operator="equal">
      <formula>"Urgent (≤ 30 jours)"</formula>
    </cfRule>
    <cfRule type="cellIs" dxfId="3" priority="3" operator="equal">
      <formula>"À préparer (31 à 60 jours)"</formula>
    </cfRule>
  </conditionalFormatting>
  <dataValidations count="3">
    <dataValidation type="date" showErrorMessage="1" errorTitle="Date hors période" error="Saisissez une date de l'année 2026." sqref="D4">
      <formula1>DATE(2026,1,1)</formula1>
      <formula2>DATE(2026,12,31)</formula2>
    </dataValidation>
    <dataValidation type="list" showErrorMessage="1" sqref="D5">
      <formula1>ListeDep</formula1>
    </dataValidation>
    <dataValidation type="list" showErrorMessage="1" sqref="D6">
      <formula1>ListeBur</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showGridLines="0" workbookViewId="0"/>
  </sheetViews>
  <sheetFormatPr baseColWidth="10" defaultColWidth="9.140625" defaultRowHeight="15" x14ac:dyDescent="0.25"/>
  <cols>
    <col min="1" max="1" width="34" customWidth="1"/>
    <col min="2" max="2" width="12" customWidth="1"/>
    <col min="3" max="3" width="52" customWidth="1"/>
    <col min="4" max="4" width="3" customWidth="1"/>
    <col min="5" max="5" width="30" customWidth="1"/>
    <col min="6" max="6" width="14" customWidth="1"/>
    <col min="7" max="7" width="40" customWidth="1"/>
    <col min="8" max="8" width="30" customWidth="1"/>
    <col min="9" max="9" width="34" customWidth="1"/>
  </cols>
  <sheetData>
    <row r="1" spans="1:9" ht="18" x14ac:dyDescent="0.25">
      <c r="A1" s="1" t="s">
        <v>105</v>
      </c>
    </row>
    <row r="2" spans="1:9" x14ac:dyDescent="0.25">
      <c r="A2" s="3" t="s">
        <v>1</v>
      </c>
    </row>
    <row r="3" spans="1:9" x14ac:dyDescent="0.25">
      <c r="A3" s="7" t="s">
        <v>106</v>
      </c>
      <c r="B3" s="7" t="s">
        <v>107</v>
      </c>
      <c r="C3" s="7" t="s">
        <v>108</v>
      </c>
      <c r="E3" s="7" t="s">
        <v>109</v>
      </c>
      <c r="F3" s="7" t="s">
        <v>110</v>
      </c>
      <c r="G3" s="7" t="s">
        <v>111</v>
      </c>
      <c r="H3" s="7" t="s">
        <v>112</v>
      </c>
      <c r="I3" s="7" t="s">
        <v>113</v>
      </c>
    </row>
    <row r="4" spans="1:9" x14ac:dyDescent="0.25">
      <c r="A4" s="21" t="s">
        <v>114</v>
      </c>
      <c r="B4" s="22">
        <v>30</v>
      </c>
      <c r="C4" s="23" t="s">
        <v>115</v>
      </c>
      <c r="E4" s="21" t="s">
        <v>28</v>
      </c>
      <c r="F4" s="21" t="s">
        <v>28</v>
      </c>
      <c r="G4" s="21" t="s">
        <v>87</v>
      </c>
      <c r="H4" s="21" t="s">
        <v>116</v>
      </c>
      <c r="I4" s="21" t="s">
        <v>117</v>
      </c>
    </row>
    <row r="5" spans="1:9" x14ac:dyDescent="0.25">
      <c r="A5" s="21" t="s">
        <v>118</v>
      </c>
      <c r="B5" s="22">
        <v>60</v>
      </c>
      <c r="C5" s="23" t="s">
        <v>115</v>
      </c>
      <c r="E5" s="21" t="s">
        <v>61</v>
      </c>
      <c r="F5" s="21" t="s">
        <v>119</v>
      </c>
      <c r="G5" s="21" t="s">
        <v>88</v>
      </c>
      <c r="H5" s="21" t="s">
        <v>120</v>
      </c>
      <c r="I5" s="21" t="s">
        <v>121</v>
      </c>
    </row>
    <row r="6" spans="1:9" x14ac:dyDescent="0.25">
      <c r="A6" s="21" t="s">
        <v>122</v>
      </c>
      <c r="B6" s="22">
        <v>90</v>
      </c>
      <c r="C6" s="23" t="s">
        <v>115</v>
      </c>
      <c r="E6" s="21" t="s">
        <v>62</v>
      </c>
      <c r="F6" s="21" t="s">
        <v>123</v>
      </c>
      <c r="G6" s="21" t="s">
        <v>89</v>
      </c>
      <c r="H6" s="21" t="s">
        <v>124</v>
      </c>
      <c r="I6" s="21" t="s">
        <v>125</v>
      </c>
    </row>
    <row r="7" spans="1:9" x14ac:dyDescent="0.25">
      <c r="E7" s="21" t="s">
        <v>63</v>
      </c>
      <c r="F7" s="21" t="s">
        <v>126</v>
      </c>
      <c r="G7" s="21" t="s">
        <v>90</v>
      </c>
      <c r="I7" s="21" t="s">
        <v>127</v>
      </c>
    </row>
    <row r="8" spans="1:9" x14ac:dyDescent="0.25">
      <c r="E8" s="21" t="s">
        <v>64</v>
      </c>
      <c r="I8" s="21" t="s">
        <v>128</v>
      </c>
    </row>
    <row r="9" spans="1:9" x14ac:dyDescent="0.25">
      <c r="E9" s="21" t="s">
        <v>65</v>
      </c>
      <c r="I9" s="21" t="s">
        <v>129</v>
      </c>
    </row>
    <row r="10" spans="1:9" x14ac:dyDescent="0.25">
      <c r="E10" s="21" t="s">
        <v>66</v>
      </c>
    </row>
    <row r="11" spans="1:9" x14ac:dyDescent="0.25">
      <c r="E11" s="21" t="s">
        <v>67</v>
      </c>
    </row>
    <row r="12" spans="1:9" x14ac:dyDescent="0.25">
      <c r="E12" s="21" t="s">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showGridLines="0" workbookViewId="0">
      <pane xSplit="1" ySplit="3" topLeftCell="B39" activePane="bottomRight" state="frozen"/>
      <selection pane="topRight"/>
      <selection pane="bottomLeft"/>
      <selection pane="bottomRight"/>
    </sheetView>
  </sheetViews>
  <sheetFormatPr baseColWidth="10" defaultColWidth="9.140625" defaultRowHeight="15" x14ac:dyDescent="0.25"/>
  <cols>
    <col min="1" max="1" width="12" customWidth="1"/>
    <col min="2" max="2" width="11" customWidth="1"/>
    <col min="3" max="3" width="8" customWidth="1"/>
    <col min="4" max="4" width="10" customWidth="1"/>
    <col min="5" max="6" width="12" customWidth="1"/>
    <col min="7" max="7" width="40" customWidth="1"/>
    <col min="8" max="8" width="18" customWidth="1"/>
  </cols>
  <sheetData>
    <row r="1" spans="1:8" ht="18" x14ac:dyDescent="0.25">
      <c r="A1" s="1" t="s">
        <v>130</v>
      </c>
    </row>
    <row r="2" spans="1:8" x14ac:dyDescent="0.25">
      <c r="A2" s="3" t="s">
        <v>1</v>
      </c>
    </row>
    <row r="3" spans="1:8" ht="30" customHeight="1" x14ac:dyDescent="0.25">
      <c r="A3" s="24" t="s">
        <v>131</v>
      </c>
      <c r="B3" s="24" t="s">
        <v>132</v>
      </c>
      <c r="C3" s="24" t="s">
        <v>133</v>
      </c>
      <c r="D3" s="24" t="s">
        <v>134</v>
      </c>
      <c r="E3" s="24" t="s">
        <v>135</v>
      </c>
      <c r="F3" s="24" t="s">
        <v>136</v>
      </c>
      <c r="G3" s="24" t="s">
        <v>137</v>
      </c>
      <c r="H3" s="24" t="s">
        <v>138</v>
      </c>
    </row>
    <row r="4" spans="1:8" x14ac:dyDescent="0.25">
      <c r="A4" s="21" t="s">
        <v>139</v>
      </c>
      <c r="B4" s="21" t="s">
        <v>140</v>
      </c>
      <c r="C4" s="21" t="s">
        <v>56</v>
      </c>
      <c r="D4" s="21"/>
      <c r="E4" s="25">
        <v>42795</v>
      </c>
      <c r="F4" s="25"/>
      <c r="G4" s="21" t="s">
        <v>141</v>
      </c>
      <c r="H4" s="21" t="str">
        <f t="shared" ref="H4:H35" si="0">B4&amp;"|"&amp;E4</f>
        <v>EMP-001|42795</v>
      </c>
    </row>
    <row r="5" spans="1:8" x14ac:dyDescent="0.25">
      <c r="A5" s="21" t="s">
        <v>142</v>
      </c>
      <c r="B5" s="21" t="s">
        <v>143</v>
      </c>
      <c r="C5" s="21" t="s">
        <v>57</v>
      </c>
      <c r="D5" s="21">
        <v>12</v>
      </c>
      <c r="E5" s="25">
        <v>44348</v>
      </c>
      <c r="F5" s="25">
        <v>44712</v>
      </c>
      <c r="G5" s="21" t="s">
        <v>141</v>
      </c>
      <c r="H5" s="21" t="str">
        <f t="shared" si="0"/>
        <v>EMP-002|44348</v>
      </c>
    </row>
    <row r="6" spans="1:8" x14ac:dyDescent="0.25">
      <c r="A6" s="21" t="s">
        <v>144</v>
      </c>
      <c r="B6" s="21" t="s">
        <v>143</v>
      </c>
      <c r="C6" s="21" t="s">
        <v>57</v>
      </c>
      <c r="D6" s="21">
        <v>12</v>
      </c>
      <c r="E6" s="25">
        <v>44713</v>
      </c>
      <c r="F6" s="25">
        <v>45077</v>
      </c>
      <c r="G6" s="21" t="s">
        <v>145</v>
      </c>
      <c r="H6" s="21" t="str">
        <f t="shared" si="0"/>
        <v>EMP-002|44713</v>
      </c>
    </row>
    <row r="7" spans="1:8" x14ac:dyDescent="0.25">
      <c r="A7" s="21" t="s">
        <v>146</v>
      </c>
      <c r="B7" s="21" t="s">
        <v>143</v>
      </c>
      <c r="C7" s="21" t="s">
        <v>56</v>
      </c>
      <c r="D7" s="21"/>
      <c r="E7" s="25">
        <v>45078</v>
      </c>
      <c r="F7" s="25"/>
      <c r="G7" s="21" t="s">
        <v>147</v>
      </c>
      <c r="H7" s="21" t="str">
        <f t="shared" si="0"/>
        <v>EMP-002|45078</v>
      </c>
    </row>
    <row r="8" spans="1:8" x14ac:dyDescent="0.25">
      <c r="A8" s="21" t="s">
        <v>148</v>
      </c>
      <c r="B8" s="21" t="s">
        <v>149</v>
      </c>
      <c r="C8" s="21" t="s">
        <v>57</v>
      </c>
      <c r="D8" s="21">
        <v>12</v>
      </c>
      <c r="E8" s="25">
        <v>43497</v>
      </c>
      <c r="F8" s="25">
        <v>43861</v>
      </c>
      <c r="G8" s="21" t="s">
        <v>141</v>
      </c>
      <c r="H8" s="21" t="str">
        <f t="shared" si="0"/>
        <v>EMP-003|43497</v>
      </c>
    </row>
    <row r="9" spans="1:8" x14ac:dyDescent="0.25">
      <c r="A9" s="21" t="s">
        <v>150</v>
      </c>
      <c r="B9" s="21" t="s">
        <v>149</v>
      </c>
      <c r="C9" s="21" t="s">
        <v>56</v>
      </c>
      <c r="D9" s="21"/>
      <c r="E9" s="25">
        <v>43862</v>
      </c>
      <c r="F9" s="25"/>
      <c r="G9" s="21" t="s">
        <v>147</v>
      </c>
      <c r="H9" s="21" t="str">
        <f t="shared" si="0"/>
        <v>EMP-003|43862</v>
      </c>
    </row>
    <row r="10" spans="1:8" x14ac:dyDescent="0.25">
      <c r="A10" s="21" t="s">
        <v>151</v>
      </c>
      <c r="B10" s="21" t="s">
        <v>152</v>
      </c>
      <c r="C10" s="21" t="s">
        <v>57</v>
      </c>
      <c r="D10" s="21">
        <v>12</v>
      </c>
      <c r="E10" s="25">
        <v>45870</v>
      </c>
      <c r="F10" s="25">
        <v>46234</v>
      </c>
      <c r="G10" s="21" t="s">
        <v>141</v>
      </c>
      <c r="H10" s="21" t="str">
        <f t="shared" si="0"/>
        <v>EMP-004|45870</v>
      </c>
    </row>
    <row r="11" spans="1:8" x14ac:dyDescent="0.25">
      <c r="A11" s="21" t="s">
        <v>153</v>
      </c>
      <c r="B11" s="21" t="s">
        <v>152</v>
      </c>
      <c r="C11" s="21" t="s">
        <v>57</v>
      </c>
      <c r="D11" s="21">
        <v>12</v>
      </c>
      <c r="E11" s="25">
        <v>46235</v>
      </c>
      <c r="F11" s="25">
        <v>46599</v>
      </c>
      <c r="G11" s="21" t="s">
        <v>145</v>
      </c>
      <c r="H11" s="21" t="str">
        <f t="shared" si="0"/>
        <v>EMP-004|46235</v>
      </c>
    </row>
    <row r="12" spans="1:8" x14ac:dyDescent="0.25">
      <c r="A12" s="21" t="s">
        <v>154</v>
      </c>
      <c r="B12" s="21" t="s">
        <v>155</v>
      </c>
      <c r="C12" s="21" t="s">
        <v>56</v>
      </c>
      <c r="D12" s="21"/>
      <c r="E12" s="25">
        <v>43346</v>
      </c>
      <c r="F12" s="25"/>
      <c r="G12" s="21" t="s">
        <v>141</v>
      </c>
      <c r="H12" s="21" t="str">
        <f t="shared" si="0"/>
        <v>EMP-005|43346</v>
      </c>
    </row>
    <row r="13" spans="1:8" x14ac:dyDescent="0.25">
      <c r="A13" s="21" t="s">
        <v>156</v>
      </c>
      <c r="B13" s="21" t="s">
        <v>157</v>
      </c>
      <c r="C13" s="21" t="s">
        <v>57</v>
      </c>
      <c r="D13" s="21">
        <v>12</v>
      </c>
      <c r="E13" s="25">
        <v>44571</v>
      </c>
      <c r="F13" s="25">
        <v>44935</v>
      </c>
      <c r="G13" s="21" t="s">
        <v>141</v>
      </c>
      <c r="H13" s="21" t="str">
        <f t="shared" si="0"/>
        <v>EMP-006|44571</v>
      </c>
    </row>
    <row r="14" spans="1:8" x14ac:dyDescent="0.25">
      <c r="A14" s="21" t="s">
        <v>158</v>
      </c>
      <c r="B14" s="21" t="s">
        <v>157</v>
      </c>
      <c r="C14" s="21" t="s">
        <v>57</v>
      </c>
      <c r="D14" s="21">
        <v>12</v>
      </c>
      <c r="E14" s="25">
        <v>44936</v>
      </c>
      <c r="F14" s="25">
        <v>45300</v>
      </c>
      <c r="G14" s="21" t="s">
        <v>145</v>
      </c>
      <c r="H14" s="21" t="str">
        <f t="shared" si="0"/>
        <v>EMP-006|44936</v>
      </c>
    </row>
    <row r="15" spans="1:8" x14ac:dyDescent="0.25">
      <c r="A15" s="21" t="s">
        <v>159</v>
      </c>
      <c r="B15" s="21" t="s">
        <v>157</v>
      </c>
      <c r="C15" s="21" t="s">
        <v>56</v>
      </c>
      <c r="D15" s="21"/>
      <c r="E15" s="25">
        <v>45301</v>
      </c>
      <c r="F15" s="25"/>
      <c r="G15" s="21" t="s">
        <v>147</v>
      </c>
      <c r="H15" s="21" t="str">
        <f t="shared" si="0"/>
        <v>EMP-006|45301</v>
      </c>
    </row>
    <row r="16" spans="1:8" x14ac:dyDescent="0.25">
      <c r="A16" s="21" t="s">
        <v>160</v>
      </c>
      <c r="B16" s="21" t="s">
        <v>161</v>
      </c>
      <c r="C16" s="21" t="s">
        <v>57</v>
      </c>
      <c r="D16" s="21">
        <v>12</v>
      </c>
      <c r="E16" s="25">
        <v>45992</v>
      </c>
      <c r="F16" s="25">
        <v>46356</v>
      </c>
      <c r="G16" s="21" t="s">
        <v>141</v>
      </c>
      <c r="H16" s="21" t="str">
        <f t="shared" si="0"/>
        <v>EMP-007|45992</v>
      </c>
    </row>
    <row r="17" spans="1:8" x14ac:dyDescent="0.25">
      <c r="A17" s="21" t="s">
        <v>162</v>
      </c>
      <c r="B17" s="21" t="s">
        <v>163</v>
      </c>
      <c r="C17" s="21" t="s">
        <v>56</v>
      </c>
      <c r="D17" s="21"/>
      <c r="E17" s="25">
        <v>42492</v>
      </c>
      <c r="F17" s="25"/>
      <c r="G17" s="21" t="s">
        <v>141</v>
      </c>
      <c r="H17" s="21" t="str">
        <f t="shared" si="0"/>
        <v>EMP-008|42492</v>
      </c>
    </row>
    <row r="18" spans="1:8" x14ac:dyDescent="0.25">
      <c r="A18" s="21" t="s">
        <v>164</v>
      </c>
      <c r="B18" s="21" t="s">
        <v>165</v>
      </c>
      <c r="C18" s="21" t="s">
        <v>57</v>
      </c>
      <c r="D18" s="21">
        <v>12</v>
      </c>
      <c r="E18" s="25">
        <v>45600</v>
      </c>
      <c r="F18" s="25">
        <v>45964</v>
      </c>
      <c r="G18" s="21" t="s">
        <v>141</v>
      </c>
      <c r="H18" s="21" t="str">
        <f t="shared" si="0"/>
        <v>EMP-009|45600</v>
      </c>
    </row>
    <row r="19" spans="1:8" x14ac:dyDescent="0.25">
      <c r="A19" s="21" t="s">
        <v>166</v>
      </c>
      <c r="B19" s="21" t="s">
        <v>165</v>
      </c>
      <c r="C19" s="21" t="s">
        <v>57</v>
      </c>
      <c r="D19" s="21">
        <v>12</v>
      </c>
      <c r="E19" s="25">
        <v>45965</v>
      </c>
      <c r="F19" s="25">
        <v>46329</v>
      </c>
      <c r="G19" s="21" t="s">
        <v>145</v>
      </c>
      <c r="H19" s="21" t="str">
        <f t="shared" si="0"/>
        <v>EMP-009|45965</v>
      </c>
    </row>
    <row r="20" spans="1:8" x14ac:dyDescent="0.25">
      <c r="A20" s="21" t="s">
        <v>167</v>
      </c>
      <c r="B20" s="21" t="s">
        <v>168</v>
      </c>
      <c r="C20" s="21" t="s">
        <v>56</v>
      </c>
      <c r="D20" s="21"/>
      <c r="E20" s="25">
        <v>42583</v>
      </c>
      <c r="F20" s="25"/>
      <c r="G20" s="21" t="s">
        <v>141</v>
      </c>
      <c r="H20" s="21" t="str">
        <f t="shared" si="0"/>
        <v>EMP-010|42583</v>
      </c>
    </row>
    <row r="21" spans="1:8" x14ac:dyDescent="0.25">
      <c r="A21" s="21" t="s">
        <v>169</v>
      </c>
      <c r="B21" s="21" t="s">
        <v>170</v>
      </c>
      <c r="C21" s="21" t="s">
        <v>57</v>
      </c>
      <c r="D21" s="21">
        <v>12</v>
      </c>
      <c r="E21" s="25">
        <v>43922</v>
      </c>
      <c r="F21" s="25">
        <v>44286</v>
      </c>
      <c r="G21" s="21" t="s">
        <v>141</v>
      </c>
      <c r="H21" s="21" t="str">
        <f t="shared" si="0"/>
        <v>EMP-011|43922</v>
      </c>
    </row>
    <row r="22" spans="1:8" x14ac:dyDescent="0.25">
      <c r="A22" s="21" t="s">
        <v>171</v>
      </c>
      <c r="B22" s="21" t="s">
        <v>170</v>
      </c>
      <c r="C22" s="21" t="s">
        <v>56</v>
      </c>
      <c r="D22" s="21"/>
      <c r="E22" s="25">
        <v>44287</v>
      </c>
      <c r="F22" s="25"/>
      <c r="G22" s="21" t="s">
        <v>147</v>
      </c>
      <c r="H22" s="21" t="str">
        <f t="shared" si="0"/>
        <v>EMP-011|44287</v>
      </c>
    </row>
    <row r="23" spans="1:8" x14ac:dyDescent="0.25">
      <c r="A23" s="21" t="s">
        <v>172</v>
      </c>
      <c r="B23" s="21" t="s">
        <v>173</v>
      </c>
      <c r="C23" s="21" t="s">
        <v>57</v>
      </c>
      <c r="D23" s="21">
        <v>12</v>
      </c>
      <c r="E23" s="25">
        <v>44986</v>
      </c>
      <c r="F23" s="25">
        <v>45351</v>
      </c>
      <c r="G23" s="21" t="s">
        <v>141</v>
      </c>
      <c r="H23" s="21" t="str">
        <f t="shared" si="0"/>
        <v>EMP-012|44986</v>
      </c>
    </row>
    <row r="24" spans="1:8" x14ac:dyDescent="0.25">
      <c r="A24" s="21" t="s">
        <v>174</v>
      </c>
      <c r="B24" s="21" t="s">
        <v>173</v>
      </c>
      <c r="C24" s="21" t="s">
        <v>57</v>
      </c>
      <c r="D24" s="21">
        <v>12</v>
      </c>
      <c r="E24" s="25">
        <v>45352</v>
      </c>
      <c r="F24" s="25">
        <v>45716</v>
      </c>
      <c r="G24" s="21" t="s">
        <v>145</v>
      </c>
      <c r="H24" s="21" t="str">
        <f t="shared" si="0"/>
        <v>EMP-012|45352</v>
      </c>
    </row>
    <row r="25" spans="1:8" x14ac:dyDescent="0.25">
      <c r="A25" s="21" t="s">
        <v>175</v>
      </c>
      <c r="B25" s="21" t="s">
        <v>173</v>
      </c>
      <c r="C25" s="21" t="s">
        <v>56</v>
      </c>
      <c r="D25" s="21"/>
      <c r="E25" s="25">
        <v>45717</v>
      </c>
      <c r="F25" s="25"/>
      <c r="G25" s="21" t="s">
        <v>147</v>
      </c>
      <c r="H25" s="21" t="str">
        <f t="shared" si="0"/>
        <v>EMP-012|45717</v>
      </c>
    </row>
    <row r="26" spans="1:8" x14ac:dyDescent="0.25">
      <c r="A26" s="21" t="s">
        <v>176</v>
      </c>
      <c r="B26" s="21" t="s">
        <v>177</v>
      </c>
      <c r="C26" s="21" t="s">
        <v>57</v>
      </c>
      <c r="D26" s="21">
        <v>12</v>
      </c>
      <c r="E26" s="25">
        <v>44470</v>
      </c>
      <c r="F26" s="25">
        <v>44834</v>
      </c>
      <c r="G26" s="21" t="s">
        <v>141</v>
      </c>
      <c r="H26" s="21" t="str">
        <f t="shared" si="0"/>
        <v>EMP-013|44470</v>
      </c>
    </row>
    <row r="27" spans="1:8" x14ac:dyDescent="0.25">
      <c r="A27" s="21" t="s">
        <v>178</v>
      </c>
      <c r="B27" s="21" t="s">
        <v>177</v>
      </c>
      <c r="C27" s="21" t="s">
        <v>56</v>
      </c>
      <c r="D27" s="21"/>
      <c r="E27" s="25">
        <v>44835</v>
      </c>
      <c r="F27" s="25"/>
      <c r="G27" s="21" t="s">
        <v>147</v>
      </c>
      <c r="H27" s="21" t="str">
        <f t="shared" si="0"/>
        <v>EMP-013|44835</v>
      </c>
    </row>
    <row r="28" spans="1:8" x14ac:dyDescent="0.25">
      <c r="A28" s="21" t="s">
        <v>179</v>
      </c>
      <c r="B28" s="21" t="s">
        <v>180</v>
      </c>
      <c r="C28" s="21" t="s">
        <v>56</v>
      </c>
      <c r="D28" s="21"/>
      <c r="E28" s="25">
        <v>43647</v>
      </c>
      <c r="F28" s="25"/>
      <c r="G28" s="21" t="s">
        <v>141</v>
      </c>
      <c r="H28" s="21" t="str">
        <f t="shared" si="0"/>
        <v>EMP-014|43647</v>
      </c>
    </row>
    <row r="29" spans="1:8" x14ac:dyDescent="0.25">
      <c r="A29" s="21" t="s">
        <v>181</v>
      </c>
      <c r="B29" s="21" t="s">
        <v>182</v>
      </c>
      <c r="C29" s="21" t="s">
        <v>57</v>
      </c>
      <c r="D29" s="21">
        <v>12</v>
      </c>
      <c r="E29" s="25">
        <v>43836</v>
      </c>
      <c r="F29" s="25">
        <v>44201</v>
      </c>
      <c r="G29" s="21" t="s">
        <v>141</v>
      </c>
      <c r="H29" s="21" t="str">
        <f t="shared" si="0"/>
        <v>EMP-015|43836</v>
      </c>
    </row>
    <row r="30" spans="1:8" x14ac:dyDescent="0.25">
      <c r="A30" s="21" t="s">
        <v>183</v>
      </c>
      <c r="B30" s="21" t="s">
        <v>182</v>
      </c>
      <c r="C30" s="21" t="s">
        <v>56</v>
      </c>
      <c r="D30" s="21"/>
      <c r="E30" s="25">
        <v>44202</v>
      </c>
      <c r="F30" s="25"/>
      <c r="G30" s="21" t="s">
        <v>147</v>
      </c>
      <c r="H30" s="21" t="str">
        <f t="shared" si="0"/>
        <v>EMP-015|44202</v>
      </c>
    </row>
    <row r="31" spans="1:8" x14ac:dyDescent="0.25">
      <c r="A31" s="21" t="s">
        <v>184</v>
      </c>
      <c r="B31" s="21" t="s">
        <v>185</v>
      </c>
      <c r="C31" s="21" t="s">
        <v>57</v>
      </c>
      <c r="D31" s="21">
        <v>12</v>
      </c>
      <c r="E31" s="25">
        <v>46027</v>
      </c>
      <c r="F31" s="25">
        <v>46391</v>
      </c>
      <c r="G31" s="21" t="s">
        <v>141</v>
      </c>
      <c r="H31" s="21" t="str">
        <f t="shared" si="0"/>
        <v>EMP-016|46027</v>
      </c>
    </row>
    <row r="32" spans="1:8" x14ac:dyDescent="0.25">
      <c r="A32" s="21" t="s">
        <v>186</v>
      </c>
      <c r="B32" s="21" t="s">
        <v>187</v>
      </c>
      <c r="C32" s="21" t="s">
        <v>57</v>
      </c>
      <c r="D32" s="21">
        <v>12</v>
      </c>
      <c r="E32" s="25">
        <v>44683</v>
      </c>
      <c r="F32" s="25">
        <v>45047</v>
      </c>
      <c r="G32" s="21" t="s">
        <v>141</v>
      </c>
      <c r="H32" s="21" t="str">
        <f t="shared" si="0"/>
        <v>EMP-017|44683</v>
      </c>
    </row>
    <row r="33" spans="1:8" x14ac:dyDescent="0.25">
      <c r="A33" s="21" t="s">
        <v>188</v>
      </c>
      <c r="B33" s="21" t="s">
        <v>187</v>
      </c>
      <c r="C33" s="21" t="s">
        <v>57</v>
      </c>
      <c r="D33" s="21">
        <v>12</v>
      </c>
      <c r="E33" s="25">
        <v>45048</v>
      </c>
      <c r="F33" s="25">
        <v>45413</v>
      </c>
      <c r="G33" s="21" t="s">
        <v>145</v>
      </c>
      <c r="H33" s="21" t="str">
        <f t="shared" si="0"/>
        <v>EMP-017|45048</v>
      </c>
    </row>
    <row r="34" spans="1:8" x14ac:dyDescent="0.25">
      <c r="A34" s="21" t="s">
        <v>189</v>
      </c>
      <c r="B34" s="21" t="s">
        <v>187</v>
      </c>
      <c r="C34" s="21" t="s">
        <v>56</v>
      </c>
      <c r="D34" s="21"/>
      <c r="E34" s="25">
        <v>45414</v>
      </c>
      <c r="F34" s="25"/>
      <c r="G34" s="21" t="s">
        <v>147</v>
      </c>
      <c r="H34" s="21" t="str">
        <f t="shared" si="0"/>
        <v>EMP-017|45414</v>
      </c>
    </row>
    <row r="35" spans="1:8" x14ac:dyDescent="0.25">
      <c r="A35" s="21" t="s">
        <v>190</v>
      </c>
      <c r="B35" s="21" t="s">
        <v>191</v>
      </c>
      <c r="C35" s="21" t="s">
        <v>57</v>
      </c>
      <c r="D35" s="21">
        <v>12</v>
      </c>
      <c r="E35" s="25">
        <v>45323</v>
      </c>
      <c r="F35" s="25">
        <v>45688</v>
      </c>
      <c r="G35" s="21" t="s">
        <v>141</v>
      </c>
      <c r="H35" s="21" t="str">
        <f t="shared" si="0"/>
        <v>EMP-018|45323</v>
      </c>
    </row>
    <row r="36" spans="1:8" x14ac:dyDescent="0.25">
      <c r="A36" s="21" t="s">
        <v>192</v>
      </c>
      <c r="B36" s="21" t="s">
        <v>191</v>
      </c>
      <c r="C36" s="21" t="s">
        <v>57</v>
      </c>
      <c r="D36" s="21">
        <v>12</v>
      </c>
      <c r="E36" s="25">
        <v>45689</v>
      </c>
      <c r="F36" s="25">
        <v>46053</v>
      </c>
      <c r="G36" s="21" t="s">
        <v>145</v>
      </c>
      <c r="H36" s="21" t="str">
        <f t="shared" ref="H36:H58" si="1">B36&amp;"|"&amp;E36</f>
        <v>EMP-018|45689</v>
      </c>
    </row>
    <row r="37" spans="1:8" x14ac:dyDescent="0.25">
      <c r="A37" s="21" t="s">
        <v>193</v>
      </c>
      <c r="B37" s="21" t="s">
        <v>191</v>
      </c>
      <c r="C37" s="21" t="s">
        <v>56</v>
      </c>
      <c r="D37" s="21"/>
      <c r="E37" s="25">
        <v>46054</v>
      </c>
      <c r="F37" s="25"/>
      <c r="G37" s="21" t="s">
        <v>147</v>
      </c>
      <c r="H37" s="21" t="str">
        <f t="shared" si="1"/>
        <v>EMP-018|46054</v>
      </c>
    </row>
    <row r="38" spans="1:8" x14ac:dyDescent="0.25">
      <c r="A38" s="21" t="s">
        <v>194</v>
      </c>
      <c r="B38" s="21" t="s">
        <v>195</v>
      </c>
      <c r="C38" s="21" t="s">
        <v>57</v>
      </c>
      <c r="D38" s="21">
        <v>12</v>
      </c>
      <c r="E38" s="25">
        <v>45170</v>
      </c>
      <c r="F38" s="25">
        <v>45535</v>
      </c>
      <c r="G38" s="21" t="s">
        <v>141</v>
      </c>
      <c r="H38" s="21" t="str">
        <f t="shared" si="1"/>
        <v>EMP-019|45170</v>
      </c>
    </row>
    <row r="39" spans="1:8" x14ac:dyDescent="0.25">
      <c r="A39" s="21" t="s">
        <v>196</v>
      </c>
      <c r="B39" s="21" t="s">
        <v>195</v>
      </c>
      <c r="C39" s="21" t="s">
        <v>57</v>
      </c>
      <c r="D39" s="21">
        <v>12</v>
      </c>
      <c r="E39" s="25">
        <v>45536</v>
      </c>
      <c r="F39" s="25">
        <v>45900</v>
      </c>
      <c r="G39" s="21" t="s">
        <v>145</v>
      </c>
      <c r="H39" s="21" t="str">
        <f t="shared" si="1"/>
        <v>EMP-019|45536</v>
      </c>
    </row>
    <row r="40" spans="1:8" x14ac:dyDescent="0.25">
      <c r="A40" s="21" t="s">
        <v>197</v>
      </c>
      <c r="B40" s="21" t="s">
        <v>195</v>
      </c>
      <c r="C40" s="21" t="s">
        <v>56</v>
      </c>
      <c r="D40" s="21"/>
      <c r="E40" s="25">
        <v>45901</v>
      </c>
      <c r="F40" s="25"/>
      <c r="G40" s="21" t="s">
        <v>147</v>
      </c>
      <c r="H40" s="21" t="str">
        <f t="shared" si="1"/>
        <v>EMP-019|45901</v>
      </c>
    </row>
    <row r="41" spans="1:8" x14ac:dyDescent="0.25">
      <c r="A41" s="21" t="s">
        <v>198</v>
      </c>
      <c r="B41" s="21" t="s">
        <v>199</v>
      </c>
      <c r="C41" s="21" t="s">
        <v>57</v>
      </c>
      <c r="D41" s="21">
        <v>6</v>
      </c>
      <c r="E41" s="25">
        <v>46113</v>
      </c>
      <c r="F41" s="25">
        <v>46295</v>
      </c>
      <c r="G41" s="21" t="s">
        <v>141</v>
      </c>
      <c r="H41" s="21" t="str">
        <f t="shared" si="1"/>
        <v>EMP-020|46113</v>
      </c>
    </row>
    <row r="42" spans="1:8" x14ac:dyDescent="0.25">
      <c r="A42" s="21" t="s">
        <v>200</v>
      </c>
      <c r="B42" s="21" t="s">
        <v>201</v>
      </c>
      <c r="C42" s="21" t="s">
        <v>57</v>
      </c>
      <c r="D42" s="21">
        <v>12</v>
      </c>
      <c r="E42" s="25">
        <v>45782</v>
      </c>
      <c r="F42" s="25">
        <v>46146</v>
      </c>
      <c r="G42" s="21" t="s">
        <v>141</v>
      </c>
      <c r="H42" s="21" t="str">
        <f t="shared" si="1"/>
        <v>EMP-021|45782</v>
      </c>
    </row>
    <row r="43" spans="1:8" x14ac:dyDescent="0.25">
      <c r="A43" s="21" t="s">
        <v>202</v>
      </c>
      <c r="B43" s="21" t="s">
        <v>201</v>
      </c>
      <c r="C43" s="21" t="s">
        <v>57</v>
      </c>
      <c r="D43" s="21">
        <v>6</v>
      </c>
      <c r="E43" s="25">
        <v>46147</v>
      </c>
      <c r="F43" s="25">
        <v>46330</v>
      </c>
      <c r="G43" s="21" t="s">
        <v>145</v>
      </c>
      <c r="H43" s="21" t="str">
        <f t="shared" si="1"/>
        <v>EMP-021|46147</v>
      </c>
    </row>
    <row r="44" spans="1:8" x14ac:dyDescent="0.25">
      <c r="A44" s="21" t="s">
        <v>203</v>
      </c>
      <c r="B44" s="21" t="s">
        <v>204</v>
      </c>
      <c r="C44" s="21" t="s">
        <v>57</v>
      </c>
      <c r="D44" s="21">
        <v>12</v>
      </c>
      <c r="E44" s="25">
        <v>44228</v>
      </c>
      <c r="F44" s="25">
        <v>44592</v>
      </c>
      <c r="G44" s="21" t="s">
        <v>141</v>
      </c>
      <c r="H44" s="21" t="str">
        <f t="shared" si="1"/>
        <v>EMP-022|44228</v>
      </c>
    </row>
    <row r="45" spans="1:8" x14ac:dyDescent="0.25">
      <c r="A45" s="21" t="s">
        <v>205</v>
      </c>
      <c r="B45" s="21" t="s">
        <v>204</v>
      </c>
      <c r="C45" s="21" t="s">
        <v>56</v>
      </c>
      <c r="D45" s="21"/>
      <c r="E45" s="25">
        <v>44593</v>
      </c>
      <c r="F45" s="25">
        <v>46203</v>
      </c>
      <c r="G45" s="21" t="s">
        <v>147</v>
      </c>
      <c r="H45" s="21" t="str">
        <f t="shared" si="1"/>
        <v>EMP-022|44593</v>
      </c>
    </row>
    <row r="46" spans="1:8" x14ac:dyDescent="0.25">
      <c r="A46" s="21" t="s">
        <v>206</v>
      </c>
      <c r="B46" s="21" t="s">
        <v>207</v>
      </c>
      <c r="C46" s="21" t="s">
        <v>56</v>
      </c>
      <c r="D46" s="21"/>
      <c r="E46" s="25">
        <v>43136</v>
      </c>
      <c r="F46" s="25"/>
      <c r="G46" s="21" t="s">
        <v>141</v>
      </c>
      <c r="H46" s="21" t="str">
        <f t="shared" si="1"/>
        <v>EMP-023|43136</v>
      </c>
    </row>
    <row r="47" spans="1:8" x14ac:dyDescent="0.25">
      <c r="A47" s="21" t="s">
        <v>208</v>
      </c>
      <c r="B47" s="21" t="s">
        <v>209</v>
      </c>
      <c r="C47" s="21" t="s">
        <v>57</v>
      </c>
      <c r="D47" s="21">
        <v>12</v>
      </c>
      <c r="E47" s="25">
        <v>45078</v>
      </c>
      <c r="F47" s="25">
        <v>45443</v>
      </c>
      <c r="G47" s="21" t="s">
        <v>141</v>
      </c>
      <c r="H47" s="21" t="str">
        <f t="shared" si="1"/>
        <v>EMP-024|45078</v>
      </c>
    </row>
    <row r="48" spans="1:8" x14ac:dyDescent="0.25">
      <c r="A48" s="21" t="s">
        <v>210</v>
      </c>
      <c r="B48" s="21" t="s">
        <v>209</v>
      </c>
      <c r="C48" s="21" t="s">
        <v>56</v>
      </c>
      <c r="D48" s="21"/>
      <c r="E48" s="25">
        <v>45444</v>
      </c>
      <c r="F48" s="25"/>
      <c r="G48" s="21" t="s">
        <v>147</v>
      </c>
      <c r="H48" s="21" t="str">
        <f t="shared" si="1"/>
        <v>EMP-024|45444</v>
      </c>
    </row>
    <row r="49" spans="1:8" x14ac:dyDescent="0.25">
      <c r="A49" s="21" t="s">
        <v>211</v>
      </c>
      <c r="B49" s="21" t="s">
        <v>212</v>
      </c>
      <c r="C49" s="21" t="s">
        <v>57</v>
      </c>
      <c r="D49" s="21">
        <v>12</v>
      </c>
      <c r="E49" s="25">
        <v>45474</v>
      </c>
      <c r="F49" s="25">
        <v>45838</v>
      </c>
      <c r="G49" s="21" t="s">
        <v>141</v>
      </c>
      <c r="H49" s="21" t="str">
        <f t="shared" si="1"/>
        <v>EMP-025|45474</v>
      </c>
    </row>
    <row r="50" spans="1:8" x14ac:dyDescent="0.25">
      <c r="A50" s="21" t="s">
        <v>213</v>
      </c>
      <c r="B50" s="21" t="s">
        <v>212</v>
      </c>
      <c r="C50" s="21" t="s">
        <v>57</v>
      </c>
      <c r="D50" s="21">
        <v>12</v>
      </c>
      <c r="E50" s="25">
        <v>45839</v>
      </c>
      <c r="F50" s="25">
        <v>46203</v>
      </c>
      <c r="G50" s="21" t="s">
        <v>145</v>
      </c>
      <c r="H50" s="21" t="str">
        <f t="shared" si="1"/>
        <v>EMP-025|45839</v>
      </c>
    </row>
    <row r="51" spans="1:8" x14ac:dyDescent="0.25">
      <c r="A51" s="21" t="s">
        <v>214</v>
      </c>
      <c r="B51" s="21" t="s">
        <v>212</v>
      </c>
      <c r="C51" s="21" t="s">
        <v>56</v>
      </c>
      <c r="D51" s="21"/>
      <c r="E51" s="25">
        <v>46204</v>
      </c>
      <c r="F51" s="25"/>
      <c r="G51" s="21" t="s">
        <v>147</v>
      </c>
      <c r="H51" s="21" t="str">
        <f t="shared" si="1"/>
        <v>EMP-025|46204</v>
      </c>
    </row>
    <row r="52" spans="1:8" x14ac:dyDescent="0.25">
      <c r="A52" s="21" t="s">
        <v>215</v>
      </c>
      <c r="B52" s="21" t="s">
        <v>216</v>
      </c>
      <c r="C52" s="21" t="s">
        <v>57</v>
      </c>
      <c r="D52" s="21">
        <v>12</v>
      </c>
      <c r="E52" s="25">
        <v>46083</v>
      </c>
      <c r="F52" s="25">
        <v>46447</v>
      </c>
      <c r="G52" s="21" t="s">
        <v>141</v>
      </c>
      <c r="H52" s="21" t="str">
        <f t="shared" si="1"/>
        <v>EMP-026|46083</v>
      </c>
    </row>
    <row r="53" spans="1:8" x14ac:dyDescent="0.25">
      <c r="A53" s="21" t="s">
        <v>217</v>
      </c>
      <c r="B53" s="21" t="s">
        <v>218</v>
      </c>
      <c r="C53" s="21" t="s">
        <v>57</v>
      </c>
      <c r="D53" s="21">
        <v>12</v>
      </c>
      <c r="E53" s="25">
        <v>44805</v>
      </c>
      <c r="F53" s="25">
        <v>45169</v>
      </c>
      <c r="G53" s="21" t="s">
        <v>141</v>
      </c>
      <c r="H53" s="21" t="str">
        <f t="shared" si="1"/>
        <v>EMP-027|44805</v>
      </c>
    </row>
    <row r="54" spans="1:8" x14ac:dyDescent="0.25">
      <c r="A54" s="21" t="s">
        <v>219</v>
      </c>
      <c r="B54" s="21" t="s">
        <v>218</v>
      </c>
      <c r="C54" s="21" t="s">
        <v>56</v>
      </c>
      <c r="D54" s="21"/>
      <c r="E54" s="25">
        <v>45170</v>
      </c>
      <c r="F54" s="25">
        <v>46096</v>
      </c>
      <c r="G54" s="21" t="s">
        <v>147</v>
      </c>
      <c r="H54" s="21" t="str">
        <f t="shared" si="1"/>
        <v>EMP-027|45170</v>
      </c>
    </row>
    <row r="55" spans="1:8" x14ac:dyDescent="0.25">
      <c r="A55" s="21" t="s">
        <v>220</v>
      </c>
      <c r="B55" s="21" t="s">
        <v>221</v>
      </c>
      <c r="C55" s="21" t="s">
        <v>57</v>
      </c>
      <c r="D55" s="21">
        <v>12</v>
      </c>
      <c r="E55" s="25">
        <v>46127</v>
      </c>
      <c r="F55" s="25">
        <v>46491</v>
      </c>
      <c r="G55" s="21" t="s">
        <v>141</v>
      </c>
      <c r="H55" s="21" t="str">
        <f t="shared" si="1"/>
        <v>EMP-028|46127</v>
      </c>
    </row>
    <row r="56" spans="1:8" x14ac:dyDescent="0.25">
      <c r="A56" s="21" t="s">
        <v>222</v>
      </c>
      <c r="B56" s="21" t="s">
        <v>223</v>
      </c>
      <c r="C56" s="21" t="s">
        <v>57</v>
      </c>
      <c r="D56" s="21">
        <v>12</v>
      </c>
      <c r="E56" s="25">
        <v>44105</v>
      </c>
      <c r="F56" s="25">
        <v>44469</v>
      </c>
      <c r="G56" s="21" t="s">
        <v>141</v>
      </c>
      <c r="H56" s="21" t="str">
        <f t="shared" si="1"/>
        <v>EMP-029|44105</v>
      </c>
    </row>
    <row r="57" spans="1:8" x14ac:dyDescent="0.25">
      <c r="A57" s="21" t="s">
        <v>224</v>
      </c>
      <c r="B57" s="21" t="s">
        <v>223</v>
      </c>
      <c r="C57" s="21" t="s">
        <v>56</v>
      </c>
      <c r="D57" s="21"/>
      <c r="E57" s="25">
        <v>44470</v>
      </c>
      <c r="F57" s="25"/>
      <c r="G57" s="21" t="s">
        <v>147</v>
      </c>
      <c r="H57" s="21" t="str">
        <f t="shared" si="1"/>
        <v>EMP-029|44470</v>
      </c>
    </row>
    <row r="58" spans="1:8" x14ac:dyDescent="0.25">
      <c r="A58" s="21" t="s">
        <v>225</v>
      </c>
      <c r="B58" s="21" t="s">
        <v>226</v>
      </c>
      <c r="C58" s="21" t="s">
        <v>56</v>
      </c>
      <c r="D58" s="21"/>
      <c r="E58" s="25">
        <v>43773</v>
      </c>
      <c r="F58" s="25"/>
      <c r="G58" s="21" t="s">
        <v>141</v>
      </c>
      <c r="H58" s="21" t="str">
        <f t="shared" si="1"/>
        <v>EMP-030|43773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showGridLines="0" workbookViewId="0">
      <pane xSplit="1" ySplit="3" topLeftCell="B14" activePane="bottomRight" state="frozen"/>
      <selection pane="topRight"/>
      <selection pane="bottomLeft"/>
      <selection pane="bottomRight"/>
    </sheetView>
  </sheetViews>
  <sheetFormatPr baseColWidth="10" defaultColWidth="9.140625" defaultRowHeight="15" x14ac:dyDescent="0.25"/>
  <cols>
    <col min="1" max="1" width="11" customWidth="1"/>
    <col min="2" max="2" width="24" customWidth="1"/>
    <col min="3" max="3" width="34" customWidth="1"/>
    <col min="4" max="4" width="28" customWidth="1"/>
    <col min="5" max="5" width="10" customWidth="1"/>
    <col min="6" max="7" width="12" customWidth="1"/>
    <col min="8" max="9" width="10" customWidth="1"/>
    <col min="10" max="10" width="13" customWidth="1"/>
    <col min="11" max="11" width="9" customWidth="1"/>
    <col min="12" max="12" width="12" customWidth="1"/>
    <col min="13" max="13" width="10" customWidth="1"/>
    <col min="14" max="14" width="28" customWidth="1"/>
  </cols>
  <sheetData>
    <row r="1" spans="1:14" ht="18" x14ac:dyDescent="0.25">
      <c r="A1" s="1" t="s">
        <v>227</v>
      </c>
    </row>
    <row r="2" spans="1:14" x14ac:dyDescent="0.25">
      <c r="A2" s="3" t="s">
        <v>1</v>
      </c>
    </row>
    <row r="3" spans="1:14" ht="30" customHeight="1" x14ac:dyDescent="0.25">
      <c r="A3" s="24" t="s">
        <v>132</v>
      </c>
      <c r="B3" s="24" t="s">
        <v>228</v>
      </c>
      <c r="C3" s="24" t="s">
        <v>229</v>
      </c>
      <c r="D3" s="24" t="s">
        <v>27</v>
      </c>
      <c r="E3" s="24" t="s">
        <v>29</v>
      </c>
      <c r="F3" s="24" t="s">
        <v>230</v>
      </c>
      <c r="G3" s="24" t="s">
        <v>231</v>
      </c>
      <c r="H3" s="24" t="s">
        <v>232</v>
      </c>
      <c r="I3" s="24" t="s">
        <v>233</v>
      </c>
      <c r="J3" s="24" t="s">
        <v>234</v>
      </c>
      <c r="K3" s="24" t="s">
        <v>235</v>
      </c>
      <c r="L3" s="24" t="s">
        <v>236</v>
      </c>
      <c r="M3" s="24" t="s">
        <v>237</v>
      </c>
      <c r="N3" s="24" t="s">
        <v>59</v>
      </c>
    </row>
    <row r="4" spans="1:14" x14ac:dyDescent="0.25">
      <c r="A4" s="21" t="s">
        <v>140</v>
      </c>
      <c r="B4" s="21" t="s">
        <v>238</v>
      </c>
      <c r="C4" s="21" t="s">
        <v>239</v>
      </c>
      <c r="D4" s="21" t="s">
        <v>62</v>
      </c>
      <c r="E4" s="21" t="s">
        <v>126</v>
      </c>
      <c r="F4" s="25">
        <v>42795</v>
      </c>
      <c r="G4" s="25"/>
      <c r="H4" s="21">
        <f t="shared" ref="H4:H33" si="0">IF(AND(OR(FiltreDep="Tous",D4=FiltreDep),OR(FiltreBur="Tous",E4=FiltreBur)),1,0)</f>
        <v>1</v>
      </c>
      <c r="I4" s="21">
        <f t="shared" ref="I4:I33" si="1">IF(AND(F4&lt;=DateSit,OR(G4="",G4&gt;DateSit)),1,0)</f>
        <v>1</v>
      </c>
      <c r="J4" s="26">
        <f t="shared" ref="J4:J33" si="2">SUMPRODUCT(MAX((ct_mat=A4)*(ct_deb&lt;=DateSit)*ct_deb))</f>
        <v>42795</v>
      </c>
      <c r="K4" s="21" t="str">
        <f t="shared" ref="K4:K33" si="3">IF(I4=0,"",INDEX(ct_type,MATCH(A4&amp;"|"&amp;J4,ct_cle,0)))</f>
        <v>CDI</v>
      </c>
      <c r="L4" s="25" t="str">
        <f t="shared" ref="L4:L33" si="4">IF(I4=0,"",IF(INDEX(ct_fin,MATCH(A4&amp;"|"&amp;J4,ct_cle,0))="","",INDEX(ct_fin,MATCH(A4&amp;"|"&amp;J4,ct_cle,0))))</f>
        <v/>
      </c>
      <c r="M4" s="27" t="str">
        <f t="shared" ref="M4:M33" si="5">IF(OR(I4=0,L4=""),"",L4-DateSit)</f>
        <v/>
      </c>
      <c r="N4" s="21" t="str">
        <f t="shared" ref="N4:N33" si="6">IF(I4=0,"",IF(L4="",NivSans,IF(M4&lt;0,NivEchu,IF(M4&lt;=SeuilUrgent,NivUrgent,IF(M4&lt;=SeuilPreparer,NivPreparer,IF(M4&lt;=SeuilSurveiller,NivSurveiller,NivRas))))))</f>
        <v>Sans échéance (CDI)</v>
      </c>
    </row>
    <row r="5" spans="1:14" x14ac:dyDescent="0.25">
      <c r="A5" s="21" t="s">
        <v>143</v>
      </c>
      <c r="B5" s="21" t="s">
        <v>240</v>
      </c>
      <c r="C5" s="21" t="s">
        <v>241</v>
      </c>
      <c r="D5" s="21" t="s">
        <v>62</v>
      </c>
      <c r="E5" s="21" t="s">
        <v>126</v>
      </c>
      <c r="F5" s="25">
        <v>44348</v>
      </c>
      <c r="G5" s="25"/>
      <c r="H5" s="21">
        <f t="shared" si="0"/>
        <v>1</v>
      </c>
      <c r="I5" s="21">
        <f t="shared" si="1"/>
        <v>1</v>
      </c>
      <c r="J5" s="26">
        <f t="shared" si="2"/>
        <v>45078</v>
      </c>
      <c r="K5" s="21" t="str">
        <f t="shared" si="3"/>
        <v>CDI</v>
      </c>
      <c r="L5" s="25" t="str">
        <f t="shared" si="4"/>
        <v/>
      </c>
      <c r="M5" s="27" t="str">
        <f t="shared" si="5"/>
        <v/>
      </c>
      <c r="N5" s="21" t="str">
        <f t="shared" si="6"/>
        <v>Sans échéance (CDI)</v>
      </c>
    </row>
    <row r="6" spans="1:14" x14ac:dyDescent="0.25">
      <c r="A6" s="21" t="s">
        <v>149</v>
      </c>
      <c r="B6" s="21" t="s">
        <v>242</v>
      </c>
      <c r="C6" s="21" t="s">
        <v>243</v>
      </c>
      <c r="D6" s="21" t="s">
        <v>67</v>
      </c>
      <c r="E6" s="21" t="s">
        <v>126</v>
      </c>
      <c r="F6" s="25">
        <v>43497</v>
      </c>
      <c r="G6" s="25"/>
      <c r="H6" s="21">
        <f t="shared" si="0"/>
        <v>1</v>
      </c>
      <c r="I6" s="21">
        <f t="shared" si="1"/>
        <v>1</v>
      </c>
      <c r="J6" s="26">
        <f t="shared" si="2"/>
        <v>43862</v>
      </c>
      <c r="K6" s="21" t="str">
        <f t="shared" si="3"/>
        <v>CDI</v>
      </c>
      <c r="L6" s="25" t="str">
        <f t="shared" si="4"/>
        <v/>
      </c>
      <c r="M6" s="27" t="str">
        <f t="shared" si="5"/>
        <v/>
      </c>
      <c r="N6" s="21" t="str">
        <f t="shared" si="6"/>
        <v>Sans échéance (CDI)</v>
      </c>
    </row>
    <row r="7" spans="1:14" x14ac:dyDescent="0.25">
      <c r="A7" s="21" t="s">
        <v>152</v>
      </c>
      <c r="B7" s="21" t="s">
        <v>244</v>
      </c>
      <c r="C7" s="21" t="s">
        <v>245</v>
      </c>
      <c r="D7" s="21" t="s">
        <v>67</v>
      </c>
      <c r="E7" s="21" t="s">
        <v>126</v>
      </c>
      <c r="F7" s="25">
        <v>45870</v>
      </c>
      <c r="G7" s="25"/>
      <c r="H7" s="21">
        <f t="shared" si="0"/>
        <v>1</v>
      </c>
      <c r="I7" s="21">
        <f t="shared" si="1"/>
        <v>1</v>
      </c>
      <c r="J7" s="26">
        <f t="shared" si="2"/>
        <v>46235</v>
      </c>
      <c r="K7" s="21" t="str">
        <f t="shared" si="3"/>
        <v>CDD</v>
      </c>
      <c r="L7" s="25">
        <f t="shared" si="4"/>
        <v>46599</v>
      </c>
      <c r="M7" s="27">
        <f t="shared" si="5"/>
        <v>273</v>
      </c>
      <c r="N7" s="21" t="str">
        <f t="shared" si="6"/>
        <v>RAS (&gt; 90 jours)</v>
      </c>
    </row>
    <row r="8" spans="1:14" x14ac:dyDescent="0.25">
      <c r="A8" s="21" t="s">
        <v>155</v>
      </c>
      <c r="B8" s="21" t="s">
        <v>246</v>
      </c>
      <c r="C8" s="21" t="s">
        <v>247</v>
      </c>
      <c r="D8" s="21" t="s">
        <v>63</v>
      </c>
      <c r="E8" s="21" t="s">
        <v>126</v>
      </c>
      <c r="F8" s="25">
        <v>43346</v>
      </c>
      <c r="G8" s="25"/>
      <c r="H8" s="21">
        <f t="shared" si="0"/>
        <v>1</v>
      </c>
      <c r="I8" s="21">
        <f t="shared" si="1"/>
        <v>1</v>
      </c>
      <c r="J8" s="26">
        <f t="shared" si="2"/>
        <v>43346</v>
      </c>
      <c r="K8" s="21" t="str">
        <f t="shared" si="3"/>
        <v>CDI</v>
      </c>
      <c r="L8" s="25" t="str">
        <f t="shared" si="4"/>
        <v/>
      </c>
      <c r="M8" s="27" t="str">
        <f t="shared" si="5"/>
        <v/>
      </c>
      <c r="N8" s="21" t="str">
        <f t="shared" si="6"/>
        <v>Sans échéance (CDI)</v>
      </c>
    </row>
    <row r="9" spans="1:14" x14ac:dyDescent="0.25">
      <c r="A9" s="21" t="s">
        <v>157</v>
      </c>
      <c r="B9" s="21" t="s">
        <v>248</v>
      </c>
      <c r="C9" s="21" t="s">
        <v>249</v>
      </c>
      <c r="D9" s="21" t="s">
        <v>63</v>
      </c>
      <c r="E9" s="21" t="s">
        <v>126</v>
      </c>
      <c r="F9" s="25">
        <v>44571</v>
      </c>
      <c r="G9" s="25"/>
      <c r="H9" s="21">
        <f t="shared" si="0"/>
        <v>1</v>
      </c>
      <c r="I9" s="21">
        <f t="shared" si="1"/>
        <v>1</v>
      </c>
      <c r="J9" s="26">
        <f t="shared" si="2"/>
        <v>45301</v>
      </c>
      <c r="K9" s="21" t="str">
        <f t="shared" si="3"/>
        <v>CDI</v>
      </c>
      <c r="L9" s="25" t="str">
        <f t="shared" si="4"/>
        <v/>
      </c>
      <c r="M9" s="27" t="str">
        <f t="shared" si="5"/>
        <v/>
      </c>
      <c r="N9" s="21" t="str">
        <f t="shared" si="6"/>
        <v>Sans échéance (CDI)</v>
      </c>
    </row>
    <row r="10" spans="1:14" x14ac:dyDescent="0.25">
      <c r="A10" s="21" t="s">
        <v>161</v>
      </c>
      <c r="B10" s="21" t="s">
        <v>250</v>
      </c>
      <c r="C10" s="21" t="s">
        <v>249</v>
      </c>
      <c r="D10" s="21" t="s">
        <v>63</v>
      </c>
      <c r="E10" s="21" t="s">
        <v>123</v>
      </c>
      <c r="F10" s="25">
        <v>45992</v>
      </c>
      <c r="G10" s="25"/>
      <c r="H10" s="21">
        <f t="shared" si="0"/>
        <v>1</v>
      </c>
      <c r="I10" s="21">
        <f t="shared" si="1"/>
        <v>1</v>
      </c>
      <c r="J10" s="26">
        <f t="shared" si="2"/>
        <v>45992</v>
      </c>
      <c r="K10" s="21" t="str">
        <f t="shared" si="3"/>
        <v>CDD</v>
      </c>
      <c r="L10" s="25">
        <f t="shared" si="4"/>
        <v>46356</v>
      </c>
      <c r="M10" s="27">
        <f t="shared" si="5"/>
        <v>30</v>
      </c>
      <c r="N10" s="21" t="str">
        <f t="shared" si="6"/>
        <v>Urgent (≤ 30 jours)</v>
      </c>
    </row>
    <row r="11" spans="1:14" x14ac:dyDescent="0.25">
      <c r="A11" s="21" t="s">
        <v>163</v>
      </c>
      <c r="B11" s="21" t="s">
        <v>251</v>
      </c>
      <c r="C11" s="21" t="s">
        <v>252</v>
      </c>
      <c r="D11" s="21" t="s">
        <v>65</v>
      </c>
      <c r="E11" s="21" t="s">
        <v>126</v>
      </c>
      <c r="F11" s="25">
        <v>42492</v>
      </c>
      <c r="G11" s="25"/>
      <c r="H11" s="21">
        <f t="shared" si="0"/>
        <v>1</v>
      </c>
      <c r="I11" s="21">
        <f t="shared" si="1"/>
        <v>1</v>
      </c>
      <c r="J11" s="26">
        <f t="shared" si="2"/>
        <v>42492</v>
      </c>
      <c r="K11" s="21" t="str">
        <f t="shared" si="3"/>
        <v>CDI</v>
      </c>
      <c r="L11" s="25" t="str">
        <f t="shared" si="4"/>
        <v/>
      </c>
      <c r="M11" s="27" t="str">
        <f t="shared" si="5"/>
        <v/>
      </c>
      <c r="N11" s="21" t="str">
        <f t="shared" si="6"/>
        <v>Sans échéance (CDI)</v>
      </c>
    </row>
    <row r="12" spans="1:14" x14ac:dyDescent="0.25">
      <c r="A12" s="21" t="s">
        <v>165</v>
      </c>
      <c r="B12" s="21" t="s">
        <v>253</v>
      </c>
      <c r="C12" s="21" t="s">
        <v>254</v>
      </c>
      <c r="D12" s="21" t="s">
        <v>65</v>
      </c>
      <c r="E12" s="21" t="s">
        <v>126</v>
      </c>
      <c r="F12" s="25">
        <v>45600</v>
      </c>
      <c r="G12" s="25"/>
      <c r="H12" s="21">
        <f t="shared" si="0"/>
        <v>1</v>
      </c>
      <c r="I12" s="21">
        <f t="shared" si="1"/>
        <v>1</v>
      </c>
      <c r="J12" s="26">
        <f t="shared" si="2"/>
        <v>45965</v>
      </c>
      <c r="K12" s="21" t="str">
        <f t="shared" si="3"/>
        <v>CDD</v>
      </c>
      <c r="L12" s="25">
        <f t="shared" si="4"/>
        <v>46329</v>
      </c>
      <c r="M12" s="27">
        <f t="shared" si="5"/>
        <v>3</v>
      </c>
      <c r="N12" s="21" t="str">
        <f t="shared" si="6"/>
        <v>Urgent (≤ 30 jours)</v>
      </c>
    </row>
    <row r="13" spans="1:14" x14ac:dyDescent="0.25">
      <c r="A13" s="21" t="s">
        <v>168</v>
      </c>
      <c r="B13" s="21" t="s">
        <v>255</v>
      </c>
      <c r="C13" s="21" t="s">
        <v>256</v>
      </c>
      <c r="D13" s="21" t="s">
        <v>65</v>
      </c>
      <c r="E13" s="21" t="s">
        <v>126</v>
      </c>
      <c r="F13" s="25">
        <v>42583</v>
      </c>
      <c r="G13" s="25"/>
      <c r="H13" s="21">
        <f t="shared" si="0"/>
        <v>1</v>
      </c>
      <c r="I13" s="21">
        <f t="shared" si="1"/>
        <v>1</v>
      </c>
      <c r="J13" s="26">
        <f t="shared" si="2"/>
        <v>42583</v>
      </c>
      <c r="K13" s="21" t="str">
        <f t="shared" si="3"/>
        <v>CDI</v>
      </c>
      <c r="L13" s="25" t="str">
        <f t="shared" si="4"/>
        <v/>
      </c>
      <c r="M13" s="27" t="str">
        <f t="shared" si="5"/>
        <v/>
      </c>
      <c r="N13" s="21" t="str">
        <f t="shared" si="6"/>
        <v>Sans échéance (CDI)</v>
      </c>
    </row>
    <row r="14" spans="1:14" x14ac:dyDescent="0.25">
      <c r="A14" s="21" t="s">
        <v>170</v>
      </c>
      <c r="B14" s="21" t="s">
        <v>257</v>
      </c>
      <c r="C14" s="21" t="s">
        <v>256</v>
      </c>
      <c r="D14" s="21" t="s">
        <v>65</v>
      </c>
      <c r="E14" s="21" t="s">
        <v>123</v>
      </c>
      <c r="F14" s="25">
        <v>43922</v>
      </c>
      <c r="G14" s="25"/>
      <c r="H14" s="21">
        <f t="shared" si="0"/>
        <v>1</v>
      </c>
      <c r="I14" s="21">
        <f t="shared" si="1"/>
        <v>1</v>
      </c>
      <c r="J14" s="26">
        <f t="shared" si="2"/>
        <v>44287</v>
      </c>
      <c r="K14" s="21" t="str">
        <f t="shared" si="3"/>
        <v>CDI</v>
      </c>
      <c r="L14" s="25" t="str">
        <f t="shared" si="4"/>
        <v/>
      </c>
      <c r="M14" s="27" t="str">
        <f t="shared" si="5"/>
        <v/>
      </c>
      <c r="N14" s="21" t="str">
        <f t="shared" si="6"/>
        <v>Sans échéance (CDI)</v>
      </c>
    </row>
    <row r="15" spans="1:14" x14ac:dyDescent="0.25">
      <c r="A15" s="21" t="s">
        <v>173</v>
      </c>
      <c r="B15" s="21" t="s">
        <v>258</v>
      </c>
      <c r="C15" s="21" t="s">
        <v>256</v>
      </c>
      <c r="D15" s="21" t="s">
        <v>65</v>
      </c>
      <c r="E15" s="21" t="s">
        <v>119</v>
      </c>
      <c r="F15" s="25">
        <v>44986</v>
      </c>
      <c r="G15" s="25"/>
      <c r="H15" s="21">
        <f t="shared" si="0"/>
        <v>1</v>
      </c>
      <c r="I15" s="21">
        <f t="shared" si="1"/>
        <v>1</v>
      </c>
      <c r="J15" s="26">
        <f t="shared" si="2"/>
        <v>45717</v>
      </c>
      <c r="K15" s="21" t="str">
        <f t="shared" si="3"/>
        <v>CDI</v>
      </c>
      <c r="L15" s="25" t="str">
        <f t="shared" si="4"/>
        <v/>
      </c>
      <c r="M15" s="27" t="str">
        <f t="shared" si="5"/>
        <v/>
      </c>
      <c r="N15" s="21" t="str">
        <f t="shared" si="6"/>
        <v>Sans échéance (CDI)</v>
      </c>
    </row>
    <row r="16" spans="1:14" x14ac:dyDescent="0.25">
      <c r="A16" s="21" t="s">
        <v>177</v>
      </c>
      <c r="B16" s="21" t="s">
        <v>259</v>
      </c>
      <c r="C16" s="21" t="s">
        <v>260</v>
      </c>
      <c r="D16" s="21" t="s">
        <v>65</v>
      </c>
      <c r="E16" s="21" t="s">
        <v>126</v>
      </c>
      <c r="F16" s="25">
        <v>44470</v>
      </c>
      <c r="G16" s="25"/>
      <c r="H16" s="21">
        <f t="shared" si="0"/>
        <v>1</v>
      </c>
      <c r="I16" s="21">
        <f t="shared" si="1"/>
        <v>1</v>
      </c>
      <c r="J16" s="26">
        <f t="shared" si="2"/>
        <v>44835</v>
      </c>
      <c r="K16" s="21" t="str">
        <f t="shared" si="3"/>
        <v>CDI</v>
      </c>
      <c r="L16" s="25" t="str">
        <f t="shared" si="4"/>
        <v/>
      </c>
      <c r="M16" s="27" t="str">
        <f t="shared" si="5"/>
        <v/>
      </c>
      <c r="N16" s="21" t="str">
        <f t="shared" si="6"/>
        <v>Sans échéance (CDI)</v>
      </c>
    </row>
    <row r="17" spans="1:14" x14ac:dyDescent="0.25">
      <c r="A17" s="21" t="s">
        <v>180</v>
      </c>
      <c r="B17" s="21" t="s">
        <v>261</v>
      </c>
      <c r="C17" s="21" t="s">
        <v>262</v>
      </c>
      <c r="D17" s="21" t="s">
        <v>66</v>
      </c>
      <c r="E17" s="21" t="s">
        <v>126</v>
      </c>
      <c r="F17" s="25">
        <v>43647</v>
      </c>
      <c r="G17" s="25"/>
      <c r="H17" s="21">
        <f t="shared" si="0"/>
        <v>1</v>
      </c>
      <c r="I17" s="21">
        <f t="shared" si="1"/>
        <v>1</v>
      </c>
      <c r="J17" s="26">
        <f t="shared" si="2"/>
        <v>43647</v>
      </c>
      <c r="K17" s="21" t="str">
        <f t="shared" si="3"/>
        <v>CDI</v>
      </c>
      <c r="L17" s="25" t="str">
        <f t="shared" si="4"/>
        <v/>
      </c>
      <c r="M17" s="27" t="str">
        <f t="shared" si="5"/>
        <v/>
      </c>
      <c r="N17" s="21" t="str">
        <f t="shared" si="6"/>
        <v>Sans échéance (CDI)</v>
      </c>
    </row>
    <row r="18" spans="1:14" x14ac:dyDescent="0.25">
      <c r="A18" s="21" t="s">
        <v>182</v>
      </c>
      <c r="B18" s="21" t="s">
        <v>263</v>
      </c>
      <c r="C18" s="21" t="s">
        <v>264</v>
      </c>
      <c r="D18" s="21" t="s">
        <v>66</v>
      </c>
      <c r="E18" s="21" t="s">
        <v>126</v>
      </c>
      <c r="F18" s="25">
        <v>43836</v>
      </c>
      <c r="G18" s="25"/>
      <c r="H18" s="21">
        <f t="shared" si="0"/>
        <v>1</v>
      </c>
      <c r="I18" s="21">
        <f t="shared" si="1"/>
        <v>1</v>
      </c>
      <c r="J18" s="26">
        <f t="shared" si="2"/>
        <v>44202</v>
      </c>
      <c r="K18" s="21" t="str">
        <f t="shared" si="3"/>
        <v>CDI</v>
      </c>
      <c r="L18" s="25" t="str">
        <f t="shared" si="4"/>
        <v/>
      </c>
      <c r="M18" s="27" t="str">
        <f t="shared" si="5"/>
        <v/>
      </c>
      <c r="N18" s="21" t="str">
        <f t="shared" si="6"/>
        <v>Sans échéance (CDI)</v>
      </c>
    </row>
    <row r="19" spans="1:14" x14ac:dyDescent="0.25">
      <c r="A19" s="21" t="s">
        <v>185</v>
      </c>
      <c r="B19" s="21" t="s">
        <v>265</v>
      </c>
      <c r="C19" s="21" t="s">
        <v>264</v>
      </c>
      <c r="D19" s="21" t="s">
        <v>66</v>
      </c>
      <c r="E19" s="21" t="s">
        <v>123</v>
      </c>
      <c r="F19" s="25">
        <v>46027</v>
      </c>
      <c r="G19" s="25"/>
      <c r="H19" s="21">
        <f t="shared" si="0"/>
        <v>1</v>
      </c>
      <c r="I19" s="21">
        <f t="shared" si="1"/>
        <v>1</v>
      </c>
      <c r="J19" s="26">
        <f t="shared" si="2"/>
        <v>46027</v>
      </c>
      <c r="K19" s="21" t="str">
        <f t="shared" si="3"/>
        <v>CDD</v>
      </c>
      <c r="L19" s="25">
        <f t="shared" si="4"/>
        <v>46391</v>
      </c>
      <c r="M19" s="27">
        <f t="shared" si="5"/>
        <v>65</v>
      </c>
      <c r="N19" s="21" t="str">
        <f t="shared" si="6"/>
        <v>À surveiller (61 à 90 jours)</v>
      </c>
    </row>
    <row r="20" spans="1:14" x14ac:dyDescent="0.25">
      <c r="A20" s="21" t="s">
        <v>187</v>
      </c>
      <c r="B20" s="21" t="s">
        <v>266</v>
      </c>
      <c r="C20" s="21" t="s">
        <v>104</v>
      </c>
      <c r="D20" s="21" t="s">
        <v>66</v>
      </c>
      <c r="E20" s="21" t="s">
        <v>126</v>
      </c>
      <c r="F20" s="25">
        <v>44683</v>
      </c>
      <c r="G20" s="25"/>
      <c r="H20" s="21">
        <f t="shared" si="0"/>
        <v>1</v>
      </c>
      <c r="I20" s="21">
        <f t="shared" si="1"/>
        <v>1</v>
      </c>
      <c r="J20" s="26">
        <f t="shared" si="2"/>
        <v>45414</v>
      </c>
      <c r="K20" s="21" t="str">
        <f t="shared" si="3"/>
        <v>CDI</v>
      </c>
      <c r="L20" s="25" t="str">
        <f t="shared" si="4"/>
        <v/>
      </c>
      <c r="M20" s="27" t="str">
        <f t="shared" si="5"/>
        <v/>
      </c>
      <c r="N20" s="21" t="str">
        <f t="shared" si="6"/>
        <v>Sans échéance (CDI)</v>
      </c>
    </row>
    <row r="21" spans="1:14" x14ac:dyDescent="0.25">
      <c r="A21" s="21" t="s">
        <v>191</v>
      </c>
      <c r="B21" s="21" t="s">
        <v>267</v>
      </c>
      <c r="C21" s="21" t="s">
        <v>104</v>
      </c>
      <c r="D21" s="21" t="s">
        <v>66</v>
      </c>
      <c r="E21" s="21" t="s">
        <v>126</v>
      </c>
      <c r="F21" s="25">
        <v>45323</v>
      </c>
      <c r="G21" s="25"/>
      <c r="H21" s="21">
        <f t="shared" si="0"/>
        <v>1</v>
      </c>
      <c r="I21" s="21">
        <f t="shared" si="1"/>
        <v>1</v>
      </c>
      <c r="J21" s="26">
        <f t="shared" si="2"/>
        <v>46054</v>
      </c>
      <c r="K21" s="21" t="str">
        <f t="shared" si="3"/>
        <v>CDI</v>
      </c>
      <c r="L21" s="25" t="str">
        <f t="shared" si="4"/>
        <v/>
      </c>
      <c r="M21" s="27" t="str">
        <f t="shared" si="5"/>
        <v/>
      </c>
      <c r="N21" s="21" t="str">
        <f t="shared" si="6"/>
        <v>Sans échéance (CDI)</v>
      </c>
    </row>
    <row r="22" spans="1:14" x14ac:dyDescent="0.25">
      <c r="A22" s="21" t="s">
        <v>195</v>
      </c>
      <c r="B22" s="21" t="s">
        <v>268</v>
      </c>
      <c r="C22" s="21" t="s">
        <v>104</v>
      </c>
      <c r="D22" s="21" t="s">
        <v>66</v>
      </c>
      <c r="E22" s="21" t="s">
        <v>119</v>
      </c>
      <c r="F22" s="25">
        <v>45170</v>
      </c>
      <c r="G22" s="25"/>
      <c r="H22" s="21">
        <f t="shared" si="0"/>
        <v>1</v>
      </c>
      <c r="I22" s="21">
        <f t="shared" si="1"/>
        <v>1</v>
      </c>
      <c r="J22" s="26">
        <f t="shared" si="2"/>
        <v>45901</v>
      </c>
      <c r="K22" s="21" t="str">
        <f t="shared" si="3"/>
        <v>CDI</v>
      </c>
      <c r="L22" s="25" t="str">
        <f t="shared" si="4"/>
        <v/>
      </c>
      <c r="M22" s="27" t="str">
        <f t="shared" si="5"/>
        <v/>
      </c>
      <c r="N22" s="21" t="str">
        <f t="shared" si="6"/>
        <v>Sans échéance (CDI)</v>
      </c>
    </row>
    <row r="23" spans="1:14" x14ac:dyDescent="0.25">
      <c r="A23" s="21" t="s">
        <v>199</v>
      </c>
      <c r="B23" s="21" t="s">
        <v>269</v>
      </c>
      <c r="C23" s="21" t="s">
        <v>104</v>
      </c>
      <c r="D23" s="21" t="s">
        <v>66</v>
      </c>
      <c r="E23" s="21" t="s">
        <v>123</v>
      </c>
      <c r="F23" s="25">
        <v>46113</v>
      </c>
      <c r="G23" s="25">
        <v>46295</v>
      </c>
      <c r="H23" s="21">
        <f t="shared" si="0"/>
        <v>1</v>
      </c>
      <c r="I23" s="21">
        <f t="shared" si="1"/>
        <v>0</v>
      </c>
      <c r="J23" s="26">
        <f t="shared" si="2"/>
        <v>46113</v>
      </c>
      <c r="K23" s="21" t="str">
        <f t="shared" si="3"/>
        <v/>
      </c>
      <c r="L23" s="25" t="str">
        <f t="shared" si="4"/>
        <v/>
      </c>
      <c r="M23" s="27" t="str">
        <f t="shared" si="5"/>
        <v/>
      </c>
      <c r="N23" s="21" t="str">
        <f t="shared" si="6"/>
        <v/>
      </c>
    </row>
    <row r="24" spans="1:14" x14ac:dyDescent="0.25">
      <c r="A24" s="21" t="s">
        <v>201</v>
      </c>
      <c r="B24" s="21" t="s">
        <v>270</v>
      </c>
      <c r="C24" s="21" t="s">
        <v>104</v>
      </c>
      <c r="D24" s="21" t="s">
        <v>66</v>
      </c>
      <c r="E24" s="21" t="s">
        <v>126</v>
      </c>
      <c r="F24" s="25">
        <v>45782</v>
      </c>
      <c r="G24" s="25"/>
      <c r="H24" s="21">
        <f t="shared" si="0"/>
        <v>1</v>
      </c>
      <c r="I24" s="21">
        <f t="shared" si="1"/>
        <v>1</v>
      </c>
      <c r="J24" s="26">
        <f t="shared" si="2"/>
        <v>46147</v>
      </c>
      <c r="K24" s="21" t="str">
        <f t="shared" si="3"/>
        <v>CDD</v>
      </c>
      <c r="L24" s="25">
        <f t="shared" si="4"/>
        <v>46330</v>
      </c>
      <c r="M24" s="27">
        <f t="shared" si="5"/>
        <v>4</v>
      </c>
      <c r="N24" s="21" t="str">
        <f t="shared" si="6"/>
        <v>Urgent (≤ 30 jours)</v>
      </c>
    </row>
    <row r="25" spans="1:14" x14ac:dyDescent="0.25">
      <c r="A25" s="21" t="s">
        <v>204</v>
      </c>
      <c r="B25" s="21" t="s">
        <v>271</v>
      </c>
      <c r="C25" s="21" t="s">
        <v>104</v>
      </c>
      <c r="D25" s="21" t="s">
        <v>66</v>
      </c>
      <c r="E25" s="21" t="s">
        <v>119</v>
      </c>
      <c r="F25" s="25">
        <v>44228</v>
      </c>
      <c r="G25" s="25">
        <v>46203</v>
      </c>
      <c r="H25" s="21">
        <f t="shared" si="0"/>
        <v>1</v>
      </c>
      <c r="I25" s="21">
        <f t="shared" si="1"/>
        <v>0</v>
      </c>
      <c r="J25" s="26">
        <f t="shared" si="2"/>
        <v>44593</v>
      </c>
      <c r="K25" s="21" t="str">
        <f t="shared" si="3"/>
        <v/>
      </c>
      <c r="L25" s="25" t="str">
        <f t="shared" si="4"/>
        <v/>
      </c>
      <c r="M25" s="27" t="str">
        <f t="shared" si="5"/>
        <v/>
      </c>
      <c r="N25" s="21" t="str">
        <f t="shared" si="6"/>
        <v/>
      </c>
    </row>
    <row r="26" spans="1:14" x14ac:dyDescent="0.25">
      <c r="A26" s="21" t="s">
        <v>207</v>
      </c>
      <c r="B26" s="21" t="s">
        <v>272</v>
      </c>
      <c r="C26" s="21" t="s">
        <v>273</v>
      </c>
      <c r="D26" s="21" t="s">
        <v>61</v>
      </c>
      <c r="E26" s="21" t="s">
        <v>126</v>
      </c>
      <c r="F26" s="25">
        <v>43136</v>
      </c>
      <c r="G26" s="25"/>
      <c r="H26" s="21">
        <f t="shared" si="0"/>
        <v>1</v>
      </c>
      <c r="I26" s="21">
        <f t="shared" si="1"/>
        <v>1</v>
      </c>
      <c r="J26" s="26">
        <f t="shared" si="2"/>
        <v>43136</v>
      </c>
      <c r="K26" s="21" t="str">
        <f t="shared" si="3"/>
        <v>CDI</v>
      </c>
      <c r="L26" s="25" t="str">
        <f t="shared" si="4"/>
        <v/>
      </c>
      <c r="M26" s="27" t="str">
        <f t="shared" si="5"/>
        <v/>
      </c>
      <c r="N26" s="21" t="str">
        <f t="shared" si="6"/>
        <v>Sans échéance (CDI)</v>
      </c>
    </row>
    <row r="27" spans="1:14" x14ac:dyDescent="0.25">
      <c r="A27" s="21" t="s">
        <v>209</v>
      </c>
      <c r="B27" s="21" t="s">
        <v>274</v>
      </c>
      <c r="C27" s="21" t="s">
        <v>275</v>
      </c>
      <c r="D27" s="21" t="s">
        <v>61</v>
      </c>
      <c r="E27" s="21" t="s">
        <v>126</v>
      </c>
      <c r="F27" s="25">
        <v>45078</v>
      </c>
      <c r="G27" s="25"/>
      <c r="H27" s="21">
        <f t="shared" si="0"/>
        <v>1</v>
      </c>
      <c r="I27" s="21">
        <f t="shared" si="1"/>
        <v>1</v>
      </c>
      <c r="J27" s="26">
        <f t="shared" si="2"/>
        <v>45444</v>
      </c>
      <c r="K27" s="21" t="str">
        <f t="shared" si="3"/>
        <v>CDI</v>
      </c>
      <c r="L27" s="25" t="str">
        <f t="shared" si="4"/>
        <v/>
      </c>
      <c r="M27" s="27" t="str">
        <f t="shared" si="5"/>
        <v/>
      </c>
      <c r="N27" s="21" t="str">
        <f t="shared" si="6"/>
        <v>Sans échéance (CDI)</v>
      </c>
    </row>
    <row r="28" spans="1:14" x14ac:dyDescent="0.25">
      <c r="A28" s="21" t="s">
        <v>212</v>
      </c>
      <c r="B28" s="21" t="s">
        <v>276</v>
      </c>
      <c r="C28" s="21" t="s">
        <v>275</v>
      </c>
      <c r="D28" s="21" t="s">
        <v>61</v>
      </c>
      <c r="E28" s="21" t="s">
        <v>123</v>
      </c>
      <c r="F28" s="25">
        <v>45474</v>
      </c>
      <c r="G28" s="25"/>
      <c r="H28" s="21">
        <f t="shared" si="0"/>
        <v>1</v>
      </c>
      <c r="I28" s="21">
        <f t="shared" si="1"/>
        <v>1</v>
      </c>
      <c r="J28" s="26">
        <f t="shared" si="2"/>
        <v>46204</v>
      </c>
      <c r="K28" s="21" t="str">
        <f t="shared" si="3"/>
        <v>CDI</v>
      </c>
      <c r="L28" s="25" t="str">
        <f t="shared" si="4"/>
        <v/>
      </c>
      <c r="M28" s="27" t="str">
        <f t="shared" si="5"/>
        <v/>
      </c>
      <c r="N28" s="21" t="str">
        <f t="shared" si="6"/>
        <v>Sans échéance (CDI)</v>
      </c>
    </row>
    <row r="29" spans="1:14" x14ac:dyDescent="0.25">
      <c r="A29" s="21" t="s">
        <v>216</v>
      </c>
      <c r="B29" s="21" t="s">
        <v>277</v>
      </c>
      <c r="C29" s="21" t="s">
        <v>275</v>
      </c>
      <c r="D29" s="21" t="s">
        <v>61</v>
      </c>
      <c r="E29" s="21" t="s">
        <v>119</v>
      </c>
      <c r="F29" s="25">
        <v>46083</v>
      </c>
      <c r="G29" s="25"/>
      <c r="H29" s="21">
        <f t="shared" si="0"/>
        <v>1</v>
      </c>
      <c r="I29" s="21">
        <f t="shared" si="1"/>
        <v>1</v>
      </c>
      <c r="J29" s="26">
        <f t="shared" si="2"/>
        <v>46083</v>
      </c>
      <c r="K29" s="21" t="str">
        <f t="shared" si="3"/>
        <v>CDD</v>
      </c>
      <c r="L29" s="25">
        <f t="shared" si="4"/>
        <v>46447</v>
      </c>
      <c r="M29" s="27">
        <f t="shared" si="5"/>
        <v>121</v>
      </c>
      <c r="N29" s="21" t="str">
        <f t="shared" si="6"/>
        <v>RAS (&gt; 90 jours)</v>
      </c>
    </row>
    <row r="30" spans="1:14" x14ac:dyDescent="0.25">
      <c r="A30" s="21" t="s">
        <v>218</v>
      </c>
      <c r="B30" s="21" t="s">
        <v>278</v>
      </c>
      <c r="C30" s="21" t="s">
        <v>279</v>
      </c>
      <c r="D30" s="21" t="s">
        <v>61</v>
      </c>
      <c r="E30" s="21" t="s">
        <v>126</v>
      </c>
      <c r="F30" s="25">
        <v>44805</v>
      </c>
      <c r="G30" s="25">
        <v>46096</v>
      </c>
      <c r="H30" s="21">
        <f t="shared" si="0"/>
        <v>1</v>
      </c>
      <c r="I30" s="21">
        <f t="shared" si="1"/>
        <v>0</v>
      </c>
      <c r="J30" s="26">
        <f t="shared" si="2"/>
        <v>45170</v>
      </c>
      <c r="K30" s="21" t="str">
        <f t="shared" si="3"/>
        <v/>
      </c>
      <c r="L30" s="25" t="str">
        <f t="shared" si="4"/>
        <v/>
      </c>
      <c r="M30" s="27" t="str">
        <f t="shared" si="5"/>
        <v/>
      </c>
      <c r="N30" s="21" t="str">
        <f t="shared" si="6"/>
        <v/>
      </c>
    </row>
    <row r="31" spans="1:14" x14ac:dyDescent="0.25">
      <c r="A31" s="21" t="s">
        <v>221</v>
      </c>
      <c r="B31" s="21" t="s">
        <v>280</v>
      </c>
      <c r="C31" s="21" t="s">
        <v>279</v>
      </c>
      <c r="D31" s="21" t="s">
        <v>61</v>
      </c>
      <c r="E31" s="21" t="s">
        <v>126</v>
      </c>
      <c r="F31" s="25">
        <v>46127</v>
      </c>
      <c r="G31" s="25"/>
      <c r="H31" s="21">
        <f t="shared" si="0"/>
        <v>1</v>
      </c>
      <c r="I31" s="21">
        <f t="shared" si="1"/>
        <v>1</v>
      </c>
      <c r="J31" s="26">
        <f t="shared" si="2"/>
        <v>46127</v>
      </c>
      <c r="K31" s="21" t="str">
        <f t="shared" si="3"/>
        <v>CDD</v>
      </c>
      <c r="L31" s="25">
        <f t="shared" si="4"/>
        <v>46491</v>
      </c>
      <c r="M31" s="27">
        <f t="shared" si="5"/>
        <v>165</v>
      </c>
      <c r="N31" s="21" t="str">
        <f t="shared" si="6"/>
        <v>RAS (&gt; 90 jours)</v>
      </c>
    </row>
    <row r="32" spans="1:14" x14ac:dyDescent="0.25">
      <c r="A32" s="21" t="s">
        <v>223</v>
      </c>
      <c r="B32" s="21" t="s">
        <v>281</v>
      </c>
      <c r="C32" s="21" t="s">
        <v>282</v>
      </c>
      <c r="D32" s="21" t="s">
        <v>64</v>
      </c>
      <c r="E32" s="21" t="s">
        <v>126</v>
      </c>
      <c r="F32" s="25">
        <v>44105</v>
      </c>
      <c r="G32" s="25"/>
      <c r="H32" s="21">
        <f t="shared" si="0"/>
        <v>1</v>
      </c>
      <c r="I32" s="21">
        <f t="shared" si="1"/>
        <v>1</v>
      </c>
      <c r="J32" s="26">
        <f t="shared" si="2"/>
        <v>44470</v>
      </c>
      <c r="K32" s="21" t="str">
        <f t="shared" si="3"/>
        <v>CDI</v>
      </c>
      <c r="L32" s="25" t="str">
        <f t="shared" si="4"/>
        <v/>
      </c>
      <c r="M32" s="27" t="str">
        <f t="shared" si="5"/>
        <v/>
      </c>
      <c r="N32" s="21" t="str">
        <f t="shared" si="6"/>
        <v>Sans échéance (CDI)</v>
      </c>
    </row>
    <row r="33" spans="1:14" x14ac:dyDescent="0.25">
      <c r="A33" s="21" t="s">
        <v>226</v>
      </c>
      <c r="B33" s="21" t="s">
        <v>283</v>
      </c>
      <c r="C33" s="21" t="s">
        <v>284</v>
      </c>
      <c r="D33" s="21" t="s">
        <v>68</v>
      </c>
      <c r="E33" s="21" t="s">
        <v>126</v>
      </c>
      <c r="F33" s="25">
        <v>43773</v>
      </c>
      <c r="G33" s="25"/>
      <c r="H33" s="21">
        <f t="shared" si="0"/>
        <v>1</v>
      </c>
      <c r="I33" s="21">
        <f t="shared" si="1"/>
        <v>1</v>
      </c>
      <c r="J33" s="26">
        <f t="shared" si="2"/>
        <v>43773</v>
      </c>
      <c r="K33" s="21" t="str">
        <f t="shared" si="3"/>
        <v>CDI</v>
      </c>
      <c r="L33" s="25" t="str">
        <f t="shared" si="4"/>
        <v/>
      </c>
      <c r="M33" s="27" t="str">
        <f t="shared" si="5"/>
        <v/>
      </c>
      <c r="N33" s="21" t="str">
        <f t="shared" si="6"/>
        <v>Sans échéance (CDI)</v>
      </c>
    </row>
  </sheetData>
  <conditionalFormatting sqref="N4:N33">
    <cfRule type="cellIs" dxfId="2" priority="1" operator="equal">
      <formula>"Échu, à régulariser"</formula>
    </cfRule>
    <cfRule type="cellIs" dxfId="1" priority="2" operator="equal">
      <formula>"Urgent (≤ 30 jours)"</formula>
    </cfRule>
    <cfRule type="cellIs" dxfId="0" priority="3" operator="equal">
      <formula>"À préparer (31 à 60 jours)"</formula>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1"/>
  <sheetViews>
    <sheetView showGridLines="0" workbookViewId="0">
      <pane xSplit="1" ySplit="3" topLeftCell="B4" activePane="bottomRight" state="frozen"/>
      <selection pane="topRight"/>
      <selection pane="bottomLeft"/>
      <selection pane="bottomRight"/>
    </sheetView>
  </sheetViews>
  <sheetFormatPr baseColWidth="10" defaultColWidth="9.140625" defaultRowHeight="15" x14ac:dyDescent="0.25"/>
  <cols>
    <col min="1" max="2" width="10" customWidth="1"/>
    <col min="3" max="3" width="22" customWidth="1"/>
    <col min="4" max="4" width="34" customWidth="1"/>
    <col min="5" max="6" width="11" customWidth="1"/>
    <col min="7" max="7" width="9" customWidth="1"/>
    <col min="8" max="8" width="11" customWidth="1"/>
    <col min="9" max="9" width="26" customWidth="1"/>
    <col min="10" max="10" width="10" customWidth="1"/>
    <col min="11" max="12" width="9" customWidth="1"/>
    <col min="13" max="24" width="7" customWidth="1"/>
    <col min="25" max="25" width="8" customWidth="1"/>
  </cols>
  <sheetData>
    <row r="1" spans="1:25" ht="18" x14ac:dyDescent="0.25">
      <c r="A1" s="1" t="s">
        <v>285</v>
      </c>
    </row>
    <row r="2" spans="1:25" x14ac:dyDescent="0.25">
      <c r="A2" s="3" t="s">
        <v>1</v>
      </c>
    </row>
    <row r="3" spans="1:25" ht="30" customHeight="1" x14ac:dyDescent="0.25">
      <c r="A3" s="24" t="s">
        <v>286</v>
      </c>
      <c r="B3" s="24" t="s">
        <v>132</v>
      </c>
      <c r="C3" s="24" t="s">
        <v>287</v>
      </c>
      <c r="D3" s="24" t="s">
        <v>82</v>
      </c>
      <c r="E3" s="24" t="s">
        <v>135</v>
      </c>
      <c r="F3" s="24" t="s">
        <v>136</v>
      </c>
      <c r="G3" s="24" t="s">
        <v>288</v>
      </c>
      <c r="H3" s="24" t="s">
        <v>85</v>
      </c>
      <c r="I3" s="24" t="s">
        <v>27</v>
      </c>
      <c r="J3" s="24" t="s">
        <v>29</v>
      </c>
      <c r="K3" s="24" t="s">
        <v>232</v>
      </c>
      <c r="L3" s="24" t="s">
        <v>289</v>
      </c>
      <c r="M3" s="24" t="s">
        <v>290</v>
      </c>
      <c r="N3" s="24" t="s">
        <v>291</v>
      </c>
      <c r="O3" s="24" t="s">
        <v>292</v>
      </c>
      <c r="P3" s="24" t="s">
        <v>293</v>
      </c>
      <c r="Q3" s="24" t="s">
        <v>294</v>
      </c>
      <c r="R3" s="24" t="s">
        <v>295</v>
      </c>
      <c r="S3" s="24" t="s">
        <v>296</v>
      </c>
      <c r="T3" s="24" t="s">
        <v>297</v>
      </c>
      <c r="U3" s="24" t="s">
        <v>298</v>
      </c>
      <c r="V3" s="24" t="s">
        <v>299</v>
      </c>
      <c r="W3" s="24" t="s">
        <v>300</v>
      </c>
      <c r="X3" s="24" t="s">
        <v>301</v>
      </c>
      <c r="Y3" s="24" t="s">
        <v>302</v>
      </c>
    </row>
    <row r="4" spans="1:25" x14ac:dyDescent="0.25">
      <c r="A4" s="21" t="s">
        <v>303</v>
      </c>
      <c r="B4" s="21" t="s">
        <v>185</v>
      </c>
      <c r="C4" s="21" t="s">
        <v>265</v>
      </c>
      <c r="D4" s="21" t="s">
        <v>90</v>
      </c>
      <c r="E4" s="25">
        <v>46029</v>
      </c>
      <c r="F4" s="25">
        <v>46030</v>
      </c>
      <c r="G4" s="21">
        <v>2</v>
      </c>
      <c r="H4" s="21" t="s">
        <v>304</v>
      </c>
      <c r="I4" s="21" t="str">
        <f t="shared" ref="I4:I35" si="0">INDEX(cl_dep,MATCH(B4,cl_mat,0))</f>
        <v>Opérations techniques</v>
      </c>
      <c r="J4" s="21" t="str">
        <f t="shared" ref="J4:J35" si="1">INDEX(cl_bur,MATCH(B4,cl_mat,0))</f>
        <v>Bukavu</v>
      </c>
      <c r="K4" s="21">
        <f t="shared" ref="K4:K35" si="2">IF(AND(OR(FiltreDep="Tous",I4=FiltreDep),OR(FiltreBur="Tous",J4=FiltreBur)),1,0)</f>
        <v>1</v>
      </c>
      <c r="L4" s="21">
        <f t="shared" ref="L4:L35" si="3">IF(OR(H4="Approuvée",H4="Constatée"),1,0)</f>
        <v>1</v>
      </c>
      <c r="M4" s="21">
        <f t="shared" ref="M4:M35" si="4">IF($L4=0,0,MAX(0,NETWORKDAYS(MAX($E4,DATE(YEAR(DateSit),1,1)),MIN($F4,EOMONTH(DATE(YEAR(DateSit),1,1),0),DateSit))))</f>
        <v>2</v>
      </c>
      <c r="N4" s="21">
        <f t="shared" ref="N4:N35" si="5">IF($L4=0,0,MAX(0,NETWORKDAYS(MAX($E4,DATE(YEAR(DateSit),2,1)),MIN($F4,EOMONTH(DATE(YEAR(DateSit),2,1),0),DateSit))))</f>
        <v>0</v>
      </c>
      <c r="O4" s="21">
        <f t="shared" ref="O4:O35" si="6">IF($L4=0,0,MAX(0,NETWORKDAYS(MAX($E4,DATE(YEAR(DateSit),3,1)),MIN($F4,EOMONTH(DATE(YEAR(DateSit),3,1),0),DateSit))))</f>
        <v>0</v>
      </c>
      <c r="P4" s="21">
        <f t="shared" ref="P4:P35" si="7">IF($L4=0,0,MAX(0,NETWORKDAYS(MAX($E4,DATE(YEAR(DateSit),4,1)),MIN($F4,EOMONTH(DATE(YEAR(DateSit),4,1),0),DateSit))))</f>
        <v>0</v>
      </c>
      <c r="Q4" s="21">
        <f t="shared" ref="Q4:Q35" si="8">IF($L4=0,0,MAX(0,NETWORKDAYS(MAX($E4,DATE(YEAR(DateSit),5,1)),MIN($F4,EOMONTH(DATE(YEAR(DateSit),5,1),0),DateSit))))</f>
        <v>0</v>
      </c>
      <c r="R4" s="21">
        <f t="shared" ref="R4:R35" si="9">IF($L4=0,0,MAX(0,NETWORKDAYS(MAX($E4,DATE(YEAR(DateSit),6,1)),MIN($F4,EOMONTH(DATE(YEAR(DateSit),6,1),0),DateSit))))</f>
        <v>0</v>
      </c>
      <c r="S4" s="21">
        <f t="shared" ref="S4:S35" si="10">IF($L4=0,0,MAX(0,NETWORKDAYS(MAX($E4,DATE(YEAR(DateSit),7,1)),MIN($F4,EOMONTH(DATE(YEAR(DateSit),7,1),0),DateSit))))</f>
        <v>0</v>
      </c>
      <c r="T4" s="21">
        <f t="shared" ref="T4:T35" si="11">IF($L4=0,0,MAX(0,NETWORKDAYS(MAX($E4,DATE(YEAR(DateSit),8,1)),MIN($F4,EOMONTH(DATE(YEAR(DateSit),8,1),0),DateSit))))</f>
        <v>0</v>
      </c>
      <c r="U4" s="21">
        <f t="shared" ref="U4:U35" si="12">IF($L4=0,0,MAX(0,NETWORKDAYS(MAX($E4,DATE(YEAR(DateSit),9,1)),MIN($F4,EOMONTH(DATE(YEAR(DateSit),9,1),0),DateSit))))</f>
        <v>0</v>
      </c>
      <c r="V4" s="21">
        <f t="shared" ref="V4:V35" si="13">IF($L4=0,0,MAX(0,NETWORKDAYS(MAX($E4,DATE(YEAR(DateSit),10,1)),MIN($F4,EOMONTH(DATE(YEAR(DateSit),10,1),0),DateSit))))</f>
        <v>0</v>
      </c>
      <c r="W4" s="21">
        <f t="shared" ref="W4:W35" si="14">IF($L4=0,0,MAX(0,NETWORKDAYS(MAX($E4,DATE(YEAR(DateSit),11,1)),MIN($F4,EOMONTH(DATE(YEAR(DateSit),11,1),0),DateSit))))</f>
        <v>0</v>
      </c>
      <c r="X4" s="21">
        <f t="shared" ref="X4:X35" si="15">IF($L4=0,0,MAX(0,NETWORKDAYS(MAX($E4,DATE(YEAR(DateSit),12,1)),MIN($F4,EOMONTH(DATE(YEAR(DateSit),12,1),0),DateSit))))</f>
        <v>0</v>
      </c>
      <c r="Y4" s="21">
        <f t="shared" ref="Y4:Y35" si="16">SUM(M4:X4)</f>
        <v>2</v>
      </c>
    </row>
    <row r="5" spans="1:25" x14ac:dyDescent="0.25">
      <c r="A5" s="21" t="s">
        <v>305</v>
      </c>
      <c r="B5" s="21" t="s">
        <v>155</v>
      </c>
      <c r="C5" s="21" t="s">
        <v>246</v>
      </c>
      <c r="D5" s="21" t="s">
        <v>90</v>
      </c>
      <c r="E5" s="25">
        <v>46030</v>
      </c>
      <c r="F5" s="25">
        <v>46035</v>
      </c>
      <c r="G5" s="21">
        <v>4</v>
      </c>
      <c r="H5" s="21" t="s">
        <v>304</v>
      </c>
      <c r="I5" s="21" t="str">
        <f t="shared" si="0"/>
        <v>Finance</v>
      </c>
      <c r="J5" s="21" t="str">
        <f t="shared" si="1"/>
        <v>Goma</v>
      </c>
      <c r="K5" s="21">
        <f t="shared" si="2"/>
        <v>1</v>
      </c>
      <c r="L5" s="21">
        <f t="shared" si="3"/>
        <v>1</v>
      </c>
      <c r="M5" s="21">
        <f t="shared" si="4"/>
        <v>4</v>
      </c>
      <c r="N5" s="21">
        <f t="shared" si="5"/>
        <v>0</v>
      </c>
      <c r="O5" s="21">
        <f t="shared" si="6"/>
        <v>0</v>
      </c>
      <c r="P5" s="21">
        <f t="shared" si="7"/>
        <v>0</v>
      </c>
      <c r="Q5" s="21">
        <f t="shared" si="8"/>
        <v>0</v>
      </c>
      <c r="R5" s="21">
        <f t="shared" si="9"/>
        <v>0</v>
      </c>
      <c r="S5" s="21">
        <f t="shared" si="10"/>
        <v>0</v>
      </c>
      <c r="T5" s="21">
        <f t="shared" si="11"/>
        <v>0</v>
      </c>
      <c r="U5" s="21">
        <f t="shared" si="12"/>
        <v>0</v>
      </c>
      <c r="V5" s="21">
        <f t="shared" si="13"/>
        <v>0</v>
      </c>
      <c r="W5" s="21">
        <f t="shared" si="14"/>
        <v>0</v>
      </c>
      <c r="X5" s="21">
        <f t="shared" si="15"/>
        <v>0</v>
      </c>
      <c r="Y5" s="21">
        <f t="shared" si="16"/>
        <v>4</v>
      </c>
    </row>
    <row r="6" spans="1:25" x14ac:dyDescent="0.25">
      <c r="A6" s="21" t="s">
        <v>306</v>
      </c>
      <c r="B6" s="21" t="s">
        <v>163</v>
      </c>
      <c r="C6" s="21" t="s">
        <v>251</v>
      </c>
      <c r="D6" s="21" t="s">
        <v>90</v>
      </c>
      <c r="E6" s="25">
        <v>46030</v>
      </c>
      <c r="F6" s="25">
        <v>46035</v>
      </c>
      <c r="G6" s="21">
        <v>4</v>
      </c>
      <c r="H6" s="21" t="s">
        <v>304</v>
      </c>
      <c r="I6" s="21" t="str">
        <f t="shared" si="0"/>
        <v>Logistique</v>
      </c>
      <c r="J6" s="21" t="str">
        <f t="shared" si="1"/>
        <v>Goma</v>
      </c>
      <c r="K6" s="21">
        <f t="shared" si="2"/>
        <v>1</v>
      </c>
      <c r="L6" s="21">
        <f t="shared" si="3"/>
        <v>1</v>
      </c>
      <c r="M6" s="21">
        <f t="shared" si="4"/>
        <v>4</v>
      </c>
      <c r="N6" s="21">
        <f t="shared" si="5"/>
        <v>0</v>
      </c>
      <c r="O6" s="21">
        <f t="shared" si="6"/>
        <v>0</v>
      </c>
      <c r="P6" s="21">
        <f t="shared" si="7"/>
        <v>0</v>
      </c>
      <c r="Q6" s="21">
        <f t="shared" si="8"/>
        <v>0</v>
      </c>
      <c r="R6" s="21">
        <f t="shared" si="9"/>
        <v>0</v>
      </c>
      <c r="S6" s="21">
        <f t="shared" si="10"/>
        <v>0</v>
      </c>
      <c r="T6" s="21">
        <f t="shared" si="11"/>
        <v>0</v>
      </c>
      <c r="U6" s="21">
        <f t="shared" si="12"/>
        <v>0</v>
      </c>
      <c r="V6" s="21">
        <f t="shared" si="13"/>
        <v>0</v>
      </c>
      <c r="W6" s="21">
        <f t="shared" si="14"/>
        <v>0</v>
      </c>
      <c r="X6" s="21">
        <f t="shared" si="15"/>
        <v>0</v>
      </c>
      <c r="Y6" s="21">
        <f t="shared" si="16"/>
        <v>4</v>
      </c>
    </row>
    <row r="7" spans="1:25" x14ac:dyDescent="0.25">
      <c r="A7" s="21" t="s">
        <v>307</v>
      </c>
      <c r="B7" s="21" t="s">
        <v>187</v>
      </c>
      <c r="C7" s="21" t="s">
        <v>266</v>
      </c>
      <c r="D7" s="21" t="s">
        <v>90</v>
      </c>
      <c r="E7" s="25">
        <v>46036</v>
      </c>
      <c r="F7" s="25">
        <v>46037</v>
      </c>
      <c r="G7" s="21">
        <v>2</v>
      </c>
      <c r="H7" s="21" t="s">
        <v>304</v>
      </c>
      <c r="I7" s="21" t="str">
        <f t="shared" si="0"/>
        <v>Opérations techniques</v>
      </c>
      <c r="J7" s="21" t="str">
        <f t="shared" si="1"/>
        <v>Goma</v>
      </c>
      <c r="K7" s="21">
        <f t="shared" si="2"/>
        <v>1</v>
      </c>
      <c r="L7" s="21">
        <f t="shared" si="3"/>
        <v>1</v>
      </c>
      <c r="M7" s="21">
        <f t="shared" si="4"/>
        <v>2</v>
      </c>
      <c r="N7" s="21">
        <f t="shared" si="5"/>
        <v>0</v>
      </c>
      <c r="O7" s="21">
        <f t="shared" si="6"/>
        <v>0</v>
      </c>
      <c r="P7" s="21">
        <f t="shared" si="7"/>
        <v>0</v>
      </c>
      <c r="Q7" s="21">
        <f t="shared" si="8"/>
        <v>0</v>
      </c>
      <c r="R7" s="21">
        <f t="shared" si="9"/>
        <v>0</v>
      </c>
      <c r="S7" s="21">
        <f t="shared" si="10"/>
        <v>0</v>
      </c>
      <c r="T7" s="21">
        <f t="shared" si="11"/>
        <v>0</v>
      </c>
      <c r="U7" s="21">
        <f t="shared" si="12"/>
        <v>0</v>
      </c>
      <c r="V7" s="21">
        <f t="shared" si="13"/>
        <v>0</v>
      </c>
      <c r="W7" s="21">
        <f t="shared" si="14"/>
        <v>0</v>
      </c>
      <c r="X7" s="21">
        <f t="shared" si="15"/>
        <v>0</v>
      </c>
      <c r="Y7" s="21">
        <f t="shared" si="16"/>
        <v>2</v>
      </c>
    </row>
    <row r="8" spans="1:25" x14ac:dyDescent="0.25">
      <c r="A8" s="21" t="s">
        <v>308</v>
      </c>
      <c r="B8" s="21" t="s">
        <v>201</v>
      </c>
      <c r="C8" s="21" t="s">
        <v>270</v>
      </c>
      <c r="D8" s="21" t="s">
        <v>90</v>
      </c>
      <c r="E8" s="25">
        <v>46042</v>
      </c>
      <c r="F8" s="25">
        <v>46045</v>
      </c>
      <c r="G8" s="21">
        <v>4</v>
      </c>
      <c r="H8" s="21" t="s">
        <v>304</v>
      </c>
      <c r="I8" s="21" t="str">
        <f t="shared" si="0"/>
        <v>Opérations techniques</v>
      </c>
      <c r="J8" s="21" t="str">
        <f t="shared" si="1"/>
        <v>Goma</v>
      </c>
      <c r="K8" s="21">
        <f t="shared" si="2"/>
        <v>1</v>
      </c>
      <c r="L8" s="21">
        <f t="shared" si="3"/>
        <v>1</v>
      </c>
      <c r="M8" s="21">
        <f t="shared" si="4"/>
        <v>4</v>
      </c>
      <c r="N8" s="21">
        <f t="shared" si="5"/>
        <v>0</v>
      </c>
      <c r="O8" s="21">
        <f t="shared" si="6"/>
        <v>0</v>
      </c>
      <c r="P8" s="21">
        <f t="shared" si="7"/>
        <v>0</v>
      </c>
      <c r="Q8" s="21">
        <f t="shared" si="8"/>
        <v>0</v>
      </c>
      <c r="R8" s="21">
        <f t="shared" si="9"/>
        <v>0</v>
      </c>
      <c r="S8" s="21">
        <f t="shared" si="10"/>
        <v>0</v>
      </c>
      <c r="T8" s="21">
        <f t="shared" si="11"/>
        <v>0</v>
      </c>
      <c r="U8" s="21">
        <f t="shared" si="12"/>
        <v>0</v>
      </c>
      <c r="V8" s="21">
        <f t="shared" si="13"/>
        <v>0</v>
      </c>
      <c r="W8" s="21">
        <f t="shared" si="14"/>
        <v>0</v>
      </c>
      <c r="X8" s="21">
        <f t="shared" si="15"/>
        <v>0</v>
      </c>
      <c r="Y8" s="21">
        <f t="shared" si="16"/>
        <v>4</v>
      </c>
    </row>
    <row r="9" spans="1:25" x14ac:dyDescent="0.25">
      <c r="A9" s="21" t="s">
        <v>309</v>
      </c>
      <c r="B9" s="21" t="s">
        <v>157</v>
      </c>
      <c r="C9" s="21" t="s">
        <v>248</v>
      </c>
      <c r="D9" s="21" t="s">
        <v>87</v>
      </c>
      <c r="E9" s="25">
        <v>46045</v>
      </c>
      <c r="F9" s="25">
        <v>46052</v>
      </c>
      <c r="G9" s="21">
        <v>6</v>
      </c>
      <c r="H9" s="21" t="s">
        <v>304</v>
      </c>
      <c r="I9" s="21" t="str">
        <f t="shared" si="0"/>
        <v>Finance</v>
      </c>
      <c r="J9" s="21" t="str">
        <f t="shared" si="1"/>
        <v>Goma</v>
      </c>
      <c r="K9" s="21">
        <f t="shared" si="2"/>
        <v>1</v>
      </c>
      <c r="L9" s="21">
        <f t="shared" si="3"/>
        <v>1</v>
      </c>
      <c r="M9" s="21">
        <f t="shared" si="4"/>
        <v>6</v>
      </c>
      <c r="N9" s="21">
        <f t="shared" si="5"/>
        <v>0</v>
      </c>
      <c r="O9" s="21">
        <f t="shared" si="6"/>
        <v>0</v>
      </c>
      <c r="P9" s="21">
        <f t="shared" si="7"/>
        <v>0</v>
      </c>
      <c r="Q9" s="21">
        <f t="shared" si="8"/>
        <v>0</v>
      </c>
      <c r="R9" s="21">
        <f t="shared" si="9"/>
        <v>0</v>
      </c>
      <c r="S9" s="21">
        <f t="shared" si="10"/>
        <v>0</v>
      </c>
      <c r="T9" s="21">
        <f t="shared" si="11"/>
        <v>0</v>
      </c>
      <c r="U9" s="21">
        <f t="shared" si="12"/>
        <v>0</v>
      </c>
      <c r="V9" s="21">
        <f t="shared" si="13"/>
        <v>0</v>
      </c>
      <c r="W9" s="21">
        <f t="shared" si="14"/>
        <v>0</v>
      </c>
      <c r="X9" s="21">
        <f t="shared" si="15"/>
        <v>0</v>
      </c>
      <c r="Y9" s="21">
        <f t="shared" si="16"/>
        <v>6</v>
      </c>
    </row>
    <row r="10" spans="1:25" x14ac:dyDescent="0.25">
      <c r="A10" s="21" t="s">
        <v>310</v>
      </c>
      <c r="B10" s="21" t="s">
        <v>165</v>
      </c>
      <c r="C10" s="21" t="s">
        <v>253</v>
      </c>
      <c r="D10" s="21" t="s">
        <v>87</v>
      </c>
      <c r="E10" s="25">
        <v>46049</v>
      </c>
      <c r="F10" s="25">
        <v>46063</v>
      </c>
      <c r="G10" s="21">
        <v>11</v>
      </c>
      <c r="H10" s="21" t="s">
        <v>304</v>
      </c>
      <c r="I10" s="21" t="str">
        <f t="shared" si="0"/>
        <v>Logistique</v>
      </c>
      <c r="J10" s="21" t="str">
        <f t="shared" si="1"/>
        <v>Goma</v>
      </c>
      <c r="K10" s="21">
        <f t="shared" si="2"/>
        <v>1</v>
      </c>
      <c r="L10" s="21">
        <f t="shared" si="3"/>
        <v>1</v>
      </c>
      <c r="M10" s="21">
        <f t="shared" si="4"/>
        <v>4</v>
      </c>
      <c r="N10" s="21">
        <f t="shared" si="5"/>
        <v>7</v>
      </c>
      <c r="O10" s="21">
        <f t="shared" si="6"/>
        <v>0</v>
      </c>
      <c r="P10" s="21">
        <f t="shared" si="7"/>
        <v>0</v>
      </c>
      <c r="Q10" s="21">
        <f t="shared" si="8"/>
        <v>0</v>
      </c>
      <c r="R10" s="21">
        <f t="shared" si="9"/>
        <v>0</v>
      </c>
      <c r="S10" s="21">
        <f t="shared" si="10"/>
        <v>0</v>
      </c>
      <c r="T10" s="21">
        <f t="shared" si="11"/>
        <v>0</v>
      </c>
      <c r="U10" s="21">
        <f t="shared" si="12"/>
        <v>0</v>
      </c>
      <c r="V10" s="21">
        <f t="shared" si="13"/>
        <v>0</v>
      </c>
      <c r="W10" s="21">
        <f t="shared" si="14"/>
        <v>0</v>
      </c>
      <c r="X10" s="21">
        <f t="shared" si="15"/>
        <v>0</v>
      </c>
      <c r="Y10" s="21">
        <f t="shared" si="16"/>
        <v>11</v>
      </c>
    </row>
    <row r="11" spans="1:25" x14ac:dyDescent="0.25">
      <c r="A11" s="21" t="s">
        <v>311</v>
      </c>
      <c r="B11" s="21" t="s">
        <v>195</v>
      </c>
      <c r="C11" s="21" t="s">
        <v>268</v>
      </c>
      <c r="D11" s="21" t="s">
        <v>87</v>
      </c>
      <c r="E11" s="25">
        <v>46055</v>
      </c>
      <c r="F11" s="25">
        <v>46063</v>
      </c>
      <c r="G11" s="21">
        <v>7</v>
      </c>
      <c r="H11" s="21" t="s">
        <v>304</v>
      </c>
      <c r="I11" s="21" t="str">
        <f t="shared" si="0"/>
        <v>Opérations techniques</v>
      </c>
      <c r="J11" s="21" t="str">
        <f t="shared" si="1"/>
        <v>Beni</v>
      </c>
      <c r="K11" s="21">
        <f t="shared" si="2"/>
        <v>1</v>
      </c>
      <c r="L11" s="21">
        <f t="shared" si="3"/>
        <v>1</v>
      </c>
      <c r="M11" s="21">
        <f t="shared" si="4"/>
        <v>0</v>
      </c>
      <c r="N11" s="21">
        <f t="shared" si="5"/>
        <v>7</v>
      </c>
      <c r="O11" s="21">
        <f t="shared" si="6"/>
        <v>0</v>
      </c>
      <c r="P11" s="21">
        <f t="shared" si="7"/>
        <v>0</v>
      </c>
      <c r="Q11" s="21">
        <f t="shared" si="8"/>
        <v>0</v>
      </c>
      <c r="R11" s="21">
        <f t="shared" si="9"/>
        <v>0</v>
      </c>
      <c r="S11" s="21">
        <f t="shared" si="10"/>
        <v>0</v>
      </c>
      <c r="T11" s="21">
        <f t="shared" si="11"/>
        <v>0</v>
      </c>
      <c r="U11" s="21">
        <f t="shared" si="12"/>
        <v>0</v>
      </c>
      <c r="V11" s="21">
        <f t="shared" si="13"/>
        <v>0</v>
      </c>
      <c r="W11" s="21">
        <f t="shared" si="14"/>
        <v>0</v>
      </c>
      <c r="X11" s="21">
        <f t="shared" si="15"/>
        <v>0</v>
      </c>
      <c r="Y11" s="21">
        <f t="shared" si="16"/>
        <v>7</v>
      </c>
    </row>
    <row r="12" spans="1:25" x14ac:dyDescent="0.25">
      <c r="A12" s="21" t="s">
        <v>312</v>
      </c>
      <c r="B12" s="21" t="s">
        <v>161</v>
      </c>
      <c r="C12" s="21" t="s">
        <v>250</v>
      </c>
      <c r="D12" s="21" t="s">
        <v>90</v>
      </c>
      <c r="E12" s="25">
        <v>46066</v>
      </c>
      <c r="F12" s="25">
        <v>46070</v>
      </c>
      <c r="G12" s="21">
        <v>3</v>
      </c>
      <c r="H12" s="21" t="s">
        <v>304</v>
      </c>
      <c r="I12" s="21" t="str">
        <f t="shared" si="0"/>
        <v>Finance</v>
      </c>
      <c r="J12" s="21" t="str">
        <f t="shared" si="1"/>
        <v>Bukavu</v>
      </c>
      <c r="K12" s="21">
        <f t="shared" si="2"/>
        <v>1</v>
      </c>
      <c r="L12" s="21">
        <f t="shared" si="3"/>
        <v>1</v>
      </c>
      <c r="M12" s="21">
        <f t="shared" si="4"/>
        <v>0</v>
      </c>
      <c r="N12" s="21">
        <f t="shared" si="5"/>
        <v>3</v>
      </c>
      <c r="O12" s="21">
        <f t="shared" si="6"/>
        <v>0</v>
      </c>
      <c r="P12" s="21">
        <f t="shared" si="7"/>
        <v>0</v>
      </c>
      <c r="Q12" s="21">
        <f t="shared" si="8"/>
        <v>0</v>
      </c>
      <c r="R12" s="21">
        <f t="shared" si="9"/>
        <v>0</v>
      </c>
      <c r="S12" s="21">
        <f t="shared" si="10"/>
        <v>0</v>
      </c>
      <c r="T12" s="21">
        <f t="shared" si="11"/>
        <v>0</v>
      </c>
      <c r="U12" s="21">
        <f t="shared" si="12"/>
        <v>0</v>
      </c>
      <c r="V12" s="21">
        <f t="shared" si="13"/>
        <v>0</v>
      </c>
      <c r="W12" s="21">
        <f t="shared" si="14"/>
        <v>0</v>
      </c>
      <c r="X12" s="21">
        <f t="shared" si="15"/>
        <v>0</v>
      </c>
      <c r="Y12" s="21">
        <f t="shared" si="16"/>
        <v>3</v>
      </c>
    </row>
    <row r="13" spans="1:25" x14ac:dyDescent="0.25">
      <c r="A13" s="21" t="s">
        <v>313</v>
      </c>
      <c r="B13" s="21" t="s">
        <v>191</v>
      </c>
      <c r="C13" s="21" t="s">
        <v>267</v>
      </c>
      <c r="D13" s="21" t="s">
        <v>87</v>
      </c>
      <c r="E13" s="25">
        <v>46072</v>
      </c>
      <c r="F13" s="25">
        <v>46080</v>
      </c>
      <c r="G13" s="21">
        <v>7</v>
      </c>
      <c r="H13" s="21" t="s">
        <v>304</v>
      </c>
      <c r="I13" s="21" t="str">
        <f t="shared" si="0"/>
        <v>Opérations techniques</v>
      </c>
      <c r="J13" s="21" t="str">
        <f t="shared" si="1"/>
        <v>Goma</v>
      </c>
      <c r="K13" s="21">
        <f t="shared" si="2"/>
        <v>1</v>
      </c>
      <c r="L13" s="21">
        <f t="shared" si="3"/>
        <v>1</v>
      </c>
      <c r="M13" s="21">
        <f t="shared" si="4"/>
        <v>0</v>
      </c>
      <c r="N13" s="21">
        <f t="shared" si="5"/>
        <v>7</v>
      </c>
      <c r="O13" s="21">
        <f t="shared" si="6"/>
        <v>0</v>
      </c>
      <c r="P13" s="21">
        <f t="shared" si="7"/>
        <v>0</v>
      </c>
      <c r="Q13" s="21">
        <f t="shared" si="8"/>
        <v>0</v>
      </c>
      <c r="R13" s="21">
        <f t="shared" si="9"/>
        <v>0</v>
      </c>
      <c r="S13" s="21">
        <f t="shared" si="10"/>
        <v>0</v>
      </c>
      <c r="T13" s="21">
        <f t="shared" si="11"/>
        <v>0</v>
      </c>
      <c r="U13" s="21">
        <f t="shared" si="12"/>
        <v>0</v>
      </c>
      <c r="V13" s="21">
        <f t="shared" si="13"/>
        <v>0</v>
      </c>
      <c r="W13" s="21">
        <f t="shared" si="14"/>
        <v>0</v>
      </c>
      <c r="X13" s="21">
        <f t="shared" si="15"/>
        <v>0</v>
      </c>
      <c r="Y13" s="21">
        <f t="shared" si="16"/>
        <v>7</v>
      </c>
    </row>
    <row r="14" spans="1:25" x14ac:dyDescent="0.25">
      <c r="A14" s="21" t="s">
        <v>314</v>
      </c>
      <c r="B14" s="21" t="s">
        <v>218</v>
      </c>
      <c r="C14" s="21" t="s">
        <v>278</v>
      </c>
      <c r="D14" s="21" t="s">
        <v>90</v>
      </c>
      <c r="E14" s="25">
        <v>46072</v>
      </c>
      <c r="F14" s="25">
        <v>46077</v>
      </c>
      <c r="G14" s="21">
        <v>4</v>
      </c>
      <c r="H14" s="21" t="s">
        <v>304</v>
      </c>
      <c r="I14" s="21" t="str">
        <f t="shared" si="0"/>
        <v>Commercial et service client</v>
      </c>
      <c r="J14" s="21" t="str">
        <f t="shared" si="1"/>
        <v>Goma</v>
      </c>
      <c r="K14" s="21">
        <f t="shared" si="2"/>
        <v>1</v>
      </c>
      <c r="L14" s="21">
        <f t="shared" si="3"/>
        <v>1</v>
      </c>
      <c r="M14" s="21">
        <f t="shared" si="4"/>
        <v>0</v>
      </c>
      <c r="N14" s="21">
        <f t="shared" si="5"/>
        <v>4</v>
      </c>
      <c r="O14" s="21">
        <f t="shared" si="6"/>
        <v>0</v>
      </c>
      <c r="P14" s="21">
        <f t="shared" si="7"/>
        <v>0</v>
      </c>
      <c r="Q14" s="21">
        <f t="shared" si="8"/>
        <v>0</v>
      </c>
      <c r="R14" s="21">
        <f t="shared" si="9"/>
        <v>0</v>
      </c>
      <c r="S14" s="21">
        <f t="shared" si="10"/>
        <v>0</v>
      </c>
      <c r="T14" s="21">
        <f t="shared" si="11"/>
        <v>0</v>
      </c>
      <c r="U14" s="21">
        <f t="shared" si="12"/>
        <v>0</v>
      </c>
      <c r="V14" s="21">
        <f t="shared" si="13"/>
        <v>0</v>
      </c>
      <c r="W14" s="21">
        <f t="shared" si="14"/>
        <v>0</v>
      </c>
      <c r="X14" s="21">
        <f t="shared" si="15"/>
        <v>0</v>
      </c>
      <c r="Y14" s="21">
        <f t="shared" si="16"/>
        <v>4</v>
      </c>
    </row>
    <row r="15" spans="1:25" x14ac:dyDescent="0.25">
      <c r="A15" s="21" t="s">
        <v>315</v>
      </c>
      <c r="B15" s="21" t="s">
        <v>212</v>
      </c>
      <c r="C15" s="21" t="s">
        <v>276</v>
      </c>
      <c r="D15" s="21" t="s">
        <v>87</v>
      </c>
      <c r="E15" s="25">
        <v>46080</v>
      </c>
      <c r="F15" s="25">
        <v>46086</v>
      </c>
      <c r="G15" s="21">
        <v>5</v>
      </c>
      <c r="H15" s="21" t="s">
        <v>304</v>
      </c>
      <c r="I15" s="21" t="str">
        <f t="shared" si="0"/>
        <v>Commercial et service client</v>
      </c>
      <c r="J15" s="21" t="str">
        <f t="shared" si="1"/>
        <v>Bukavu</v>
      </c>
      <c r="K15" s="21">
        <f t="shared" si="2"/>
        <v>1</v>
      </c>
      <c r="L15" s="21">
        <f t="shared" si="3"/>
        <v>1</v>
      </c>
      <c r="M15" s="21">
        <f t="shared" si="4"/>
        <v>0</v>
      </c>
      <c r="N15" s="21">
        <f t="shared" si="5"/>
        <v>1</v>
      </c>
      <c r="O15" s="21">
        <f t="shared" si="6"/>
        <v>4</v>
      </c>
      <c r="P15" s="21">
        <f t="shared" si="7"/>
        <v>0</v>
      </c>
      <c r="Q15" s="21">
        <f t="shared" si="8"/>
        <v>0</v>
      </c>
      <c r="R15" s="21">
        <f t="shared" si="9"/>
        <v>0</v>
      </c>
      <c r="S15" s="21">
        <f t="shared" si="10"/>
        <v>0</v>
      </c>
      <c r="T15" s="21">
        <f t="shared" si="11"/>
        <v>0</v>
      </c>
      <c r="U15" s="21">
        <f t="shared" si="12"/>
        <v>0</v>
      </c>
      <c r="V15" s="21">
        <f t="shared" si="13"/>
        <v>0</v>
      </c>
      <c r="W15" s="21">
        <f t="shared" si="14"/>
        <v>0</v>
      </c>
      <c r="X15" s="21">
        <f t="shared" si="15"/>
        <v>0</v>
      </c>
      <c r="Y15" s="21">
        <f t="shared" si="16"/>
        <v>5</v>
      </c>
    </row>
    <row r="16" spans="1:25" x14ac:dyDescent="0.25">
      <c r="A16" s="21" t="s">
        <v>316</v>
      </c>
      <c r="B16" s="21" t="s">
        <v>195</v>
      </c>
      <c r="C16" s="21" t="s">
        <v>268</v>
      </c>
      <c r="D16" s="21" t="s">
        <v>90</v>
      </c>
      <c r="E16" s="25">
        <v>46083</v>
      </c>
      <c r="F16" s="25">
        <v>46180</v>
      </c>
      <c r="G16" s="21">
        <v>70</v>
      </c>
      <c r="H16" s="21" t="s">
        <v>304</v>
      </c>
      <c r="I16" s="21" t="str">
        <f t="shared" si="0"/>
        <v>Opérations techniques</v>
      </c>
      <c r="J16" s="21" t="str">
        <f t="shared" si="1"/>
        <v>Beni</v>
      </c>
      <c r="K16" s="21">
        <f t="shared" si="2"/>
        <v>1</v>
      </c>
      <c r="L16" s="21">
        <f t="shared" si="3"/>
        <v>1</v>
      </c>
      <c r="M16" s="21">
        <f t="shared" si="4"/>
        <v>0</v>
      </c>
      <c r="N16" s="21">
        <f t="shared" si="5"/>
        <v>0</v>
      </c>
      <c r="O16" s="21">
        <f t="shared" si="6"/>
        <v>22</v>
      </c>
      <c r="P16" s="21">
        <f t="shared" si="7"/>
        <v>22</v>
      </c>
      <c r="Q16" s="21">
        <f t="shared" si="8"/>
        <v>21</v>
      </c>
      <c r="R16" s="21">
        <f t="shared" si="9"/>
        <v>5</v>
      </c>
      <c r="S16" s="21">
        <f t="shared" si="10"/>
        <v>0</v>
      </c>
      <c r="T16" s="21">
        <f t="shared" si="11"/>
        <v>0</v>
      </c>
      <c r="U16" s="21">
        <f t="shared" si="12"/>
        <v>0</v>
      </c>
      <c r="V16" s="21">
        <f t="shared" si="13"/>
        <v>0</v>
      </c>
      <c r="W16" s="21">
        <f t="shared" si="14"/>
        <v>0</v>
      </c>
      <c r="X16" s="21">
        <f t="shared" si="15"/>
        <v>0</v>
      </c>
      <c r="Y16" s="21">
        <f t="shared" si="16"/>
        <v>70</v>
      </c>
    </row>
    <row r="17" spans="1:25" x14ac:dyDescent="0.25">
      <c r="A17" s="21" t="s">
        <v>317</v>
      </c>
      <c r="B17" s="21" t="s">
        <v>207</v>
      </c>
      <c r="C17" s="21" t="s">
        <v>272</v>
      </c>
      <c r="D17" s="21" t="s">
        <v>87</v>
      </c>
      <c r="E17" s="25">
        <v>46084</v>
      </c>
      <c r="F17" s="25">
        <v>46098</v>
      </c>
      <c r="G17" s="21">
        <v>11</v>
      </c>
      <c r="H17" s="21" t="s">
        <v>304</v>
      </c>
      <c r="I17" s="21" t="str">
        <f t="shared" si="0"/>
        <v>Commercial et service client</v>
      </c>
      <c r="J17" s="21" t="str">
        <f t="shared" si="1"/>
        <v>Goma</v>
      </c>
      <c r="K17" s="21">
        <f t="shared" si="2"/>
        <v>1</v>
      </c>
      <c r="L17" s="21">
        <f t="shared" si="3"/>
        <v>1</v>
      </c>
      <c r="M17" s="21">
        <f t="shared" si="4"/>
        <v>0</v>
      </c>
      <c r="N17" s="21">
        <f t="shared" si="5"/>
        <v>0</v>
      </c>
      <c r="O17" s="21">
        <f t="shared" si="6"/>
        <v>11</v>
      </c>
      <c r="P17" s="21">
        <f t="shared" si="7"/>
        <v>0</v>
      </c>
      <c r="Q17" s="21">
        <f t="shared" si="8"/>
        <v>0</v>
      </c>
      <c r="R17" s="21">
        <f t="shared" si="9"/>
        <v>0</v>
      </c>
      <c r="S17" s="21">
        <f t="shared" si="10"/>
        <v>0</v>
      </c>
      <c r="T17" s="21">
        <f t="shared" si="11"/>
        <v>0</v>
      </c>
      <c r="U17" s="21">
        <f t="shared" si="12"/>
        <v>0</v>
      </c>
      <c r="V17" s="21">
        <f t="shared" si="13"/>
        <v>0</v>
      </c>
      <c r="W17" s="21">
        <f t="shared" si="14"/>
        <v>0</v>
      </c>
      <c r="X17" s="21">
        <f t="shared" si="15"/>
        <v>0</v>
      </c>
      <c r="Y17" s="21">
        <f t="shared" si="16"/>
        <v>11</v>
      </c>
    </row>
    <row r="18" spans="1:25" x14ac:dyDescent="0.25">
      <c r="A18" s="21" t="s">
        <v>318</v>
      </c>
      <c r="B18" s="21" t="s">
        <v>168</v>
      </c>
      <c r="C18" s="21" t="s">
        <v>255</v>
      </c>
      <c r="D18" s="21" t="s">
        <v>87</v>
      </c>
      <c r="E18" s="25">
        <v>46085</v>
      </c>
      <c r="F18" s="25">
        <v>46098</v>
      </c>
      <c r="G18" s="21">
        <v>10</v>
      </c>
      <c r="H18" s="21" t="s">
        <v>304</v>
      </c>
      <c r="I18" s="21" t="str">
        <f t="shared" si="0"/>
        <v>Logistique</v>
      </c>
      <c r="J18" s="21" t="str">
        <f t="shared" si="1"/>
        <v>Goma</v>
      </c>
      <c r="K18" s="21">
        <f t="shared" si="2"/>
        <v>1</v>
      </c>
      <c r="L18" s="21">
        <f t="shared" si="3"/>
        <v>1</v>
      </c>
      <c r="M18" s="21">
        <f t="shared" si="4"/>
        <v>0</v>
      </c>
      <c r="N18" s="21">
        <f t="shared" si="5"/>
        <v>0</v>
      </c>
      <c r="O18" s="21">
        <f t="shared" si="6"/>
        <v>10</v>
      </c>
      <c r="P18" s="21">
        <f t="shared" si="7"/>
        <v>0</v>
      </c>
      <c r="Q18" s="21">
        <f t="shared" si="8"/>
        <v>0</v>
      </c>
      <c r="R18" s="21">
        <f t="shared" si="9"/>
        <v>0</v>
      </c>
      <c r="S18" s="21">
        <f t="shared" si="10"/>
        <v>0</v>
      </c>
      <c r="T18" s="21">
        <f t="shared" si="11"/>
        <v>0</v>
      </c>
      <c r="U18" s="21">
        <f t="shared" si="12"/>
        <v>0</v>
      </c>
      <c r="V18" s="21">
        <f t="shared" si="13"/>
        <v>0</v>
      </c>
      <c r="W18" s="21">
        <f t="shared" si="14"/>
        <v>0</v>
      </c>
      <c r="X18" s="21">
        <f t="shared" si="15"/>
        <v>0</v>
      </c>
      <c r="Y18" s="21">
        <f t="shared" si="16"/>
        <v>10</v>
      </c>
    </row>
    <row r="19" spans="1:25" x14ac:dyDescent="0.25">
      <c r="A19" s="21" t="s">
        <v>319</v>
      </c>
      <c r="B19" s="21" t="s">
        <v>201</v>
      </c>
      <c r="C19" s="21" t="s">
        <v>270</v>
      </c>
      <c r="D19" s="21" t="s">
        <v>87</v>
      </c>
      <c r="E19" s="25">
        <v>46085</v>
      </c>
      <c r="F19" s="25">
        <v>46097</v>
      </c>
      <c r="G19" s="21">
        <v>9</v>
      </c>
      <c r="H19" s="21" t="s">
        <v>304</v>
      </c>
      <c r="I19" s="21" t="str">
        <f t="shared" si="0"/>
        <v>Opérations techniques</v>
      </c>
      <c r="J19" s="21" t="str">
        <f t="shared" si="1"/>
        <v>Goma</v>
      </c>
      <c r="K19" s="21">
        <f t="shared" si="2"/>
        <v>1</v>
      </c>
      <c r="L19" s="21">
        <f t="shared" si="3"/>
        <v>1</v>
      </c>
      <c r="M19" s="21">
        <f t="shared" si="4"/>
        <v>0</v>
      </c>
      <c r="N19" s="21">
        <f t="shared" si="5"/>
        <v>0</v>
      </c>
      <c r="O19" s="21">
        <f t="shared" si="6"/>
        <v>9</v>
      </c>
      <c r="P19" s="21">
        <f t="shared" si="7"/>
        <v>0</v>
      </c>
      <c r="Q19" s="21">
        <f t="shared" si="8"/>
        <v>0</v>
      </c>
      <c r="R19" s="21">
        <f t="shared" si="9"/>
        <v>0</v>
      </c>
      <c r="S19" s="21">
        <f t="shared" si="10"/>
        <v>0</v>
      </c>
      <c r="T19" s="21">
        <f t="shared" si="11"/>
        <v>0</v>
      </c>
      <c r="U19" s="21">
        <f t="shared" si="12"/>
        <v>0</v>
      </c>
      <c r="V19" s="21">
        <f t="shared" si="13"/>
        <v>0</v>
      </c>
      <c r="W19" s="21">
        <f t="shared" si="14"/>
        <v>0</v>
      </c>
      <c r="X19" s="21">
        <f t="shared" si="15"/>
        <v>0</v>
      </c>
      <c r="Y19" s="21">
        <f t="shared" si="16"/>
        <v>9</v>
      </c>
    </row>
    <row r="20" spans="1:25" x14ac:dyDescent="0.25">
      <c r="A20" s="21" t="s">
        <v>320</v>
      </c>
      <c r="B20" s="21" t="s">
        <v>209</v>
      </c>
      <c r="C20" s="21" t="s">
        <v>274</v>
      </c>
      <c r="D20" s="21" t="s">
        <v>87</v>
      </c>
      <c r="E20" s="25">
        <v>46085</v>
      </c>
      <c r="F20" s="25">
        <v>46097</v>
      </c>
      <c r="G20" s="21">
        <v>9</v>
      </c>
      <c r="H20" s="21" t="s">
        <v>304</v>
      </c>
      <c r="I20" s="21" t="str">
        <f t="shared" si="0"/>
        <v>Commercial et service client</v>
      </c>
      <c r="J20" s="21" t="str">
        <f t="shared" si="1"/>
        <v>Goma</v>
      </c>
      <c r="K20" s="21">
        <f t="shared" si="2"/>
        <v>1</v>
      </c>
      <c r="L20" s="21">
        <f t="shared" si="3"/>
        <v>1</v>
      </c>
      <c r="M20" s="21">
        <f t="shared" si="4"/>
        <v>0</v>
      </c>
      <c r="N20" s="21">
        <f t="shared" si="5"/>
        <v>0</v>
      </c>
      <c r="O20" s="21">
        <f t="shared" si="6"/>
        <v>9</v>
      </c>
      <c r="P20" s="21">
        <f t="shared" si="7"/>
        <v>0</v>
      </c>
      <c r="Q20" s="21">
        <f t="shared" si="8"/>
        <v>0</v>
      </c>
      <c r="R20" s="21">
        <f t="shared" si="9"/>
        <v>0</v>
      </c>
      <c r="S20" s="21">
        <f t="shared" si="10"/>
        <v>0</v>
      </c>
      <c r="T20" s="21">
        <f t="shared" si="11"/>
        <v>0</v>
      </c>
      <c r="U20" s="21">
        <f t="shared" si="12"/>
        <v>0</v>
      </c>
      <c r="V20" s="21">
        <f t="shared" si="13"/>
        <v>0</v>
      </c>
      <c r="W20" s="21">
        <f t="shared" si="14"/>
        <v>0</v>
      </c>
      <c r="X20" s="21">
        <f t="shared" si="15"/>
        <v>0</v>
      </c>
      <c r="Y20" s="21">
        <f t="shared" si="16"/>
        <v>9</v>
      </c>
    </row>
    <row r="21" spans="1:25" x14ac:dyDescent="0.25">
      <c r="A21" s="21" t="s">
        <v>321</v>
      </c>
      <c r="B21" s="21" t="s">
        <v>161</v>
      </c>
      <c r="C21" s="21" t="s">
        <v>250</v>
      </c>
      <c r="D21" s="21" t="s">
        <v>87</v>
      </c>
      <c r="E21" s="25">
        <v>46092</v>
      </c>
      <c r="F21" s="25">
        <v>46107</v>
      </c>
      <c r="G21" s="21">
        <v>12</v>
      </c>
      <c r="H21" s="21" t="s">
        <v>304</v>
      </c>
      <c r="I21" s="21" t="str">
        <f t="shared" si="0"/>
        <v>Finance</v>
      </c>
      <c r="J21" s="21" t="str">
        <f t="shared" si="1"/>
        <v>Bukavu</v>
      </c>
      <c r="K21" s="21">
        <f t="shared" si="2"/>
        <v>1</v>
      </c>
      <c r="L21" s="21">
        <f t="shared" si="3"/>
        <v>1</v>
      </c>
      <c r="M21" s="21">
        <f t="shared" si="4"/>
        <v>0</v>
      </c>
      <c r="N21" s="21">
        <f t="shared" si="5"/>
        <v>0</v>
      </c>
      <c r="O21" s="21">
        <f t="shared" si="6"/>
        <v>12</v>
      </c>
      <c r="P21" s="21">
        <f t="shared" si="7"/>
        <v>0</v>
      </c>
      <c r="Q21" s="21">
        <f t="shared" si="8"/>
        <v>0</v>
      </c>
      <c r="R21" s="21">
        <f t="shared" si="9"/>
        <v>0</v>
      </c>
      <c r="S21" s="21">
        <f t="shared" si="10"/>
        <v>0</v>
      </c>
      <c r="T21" s="21">
        <f t="shared" si="11"/>
        <v>0</v>
      </c>
      <c r="U21" s="21">
        <f t="shared" si="12"/>
        <v>0</v>
      </c>
      <c r="V21" s="21">
        <f t="shared" si="13"/>
        <v>0</v>
      </c>
      <c r="W21" s="21">
        <f t="shared" si="14"/>
        <v>0</v>
      </c>
      <c r="X21" s="21">
        <f t="shared" si="15"/>
        <v>0</v>
      </c>
      <c r="Y21" s="21">
        <f t="shared" si="16"/>
        <v>12</v>
      </c>
    </row>
    <row r="22" spans="1:25" x14ac:dyDescent="0.25">
      <c r="A22" s="21" t="s">
        <v>322</v>
      </c>
      <c r="B22" s="21" t="s">
        <v>163</v>
      </c>
      <c r="C22" s="21" t="s">
        <v>251</v>
      </c>
      <c r="D22" s="21" t="s">
        <v>87</v>
      </c>
      <c r="E22" s="25">
        <v>46092</v>
      </c>
      <c r="F22" s="25">
        <v>46100</v>
      </c>
      <c r="G22" s="21">
        <v>7</v>
      </c>
      <c r="H22" s="21" t="s">
        <v>304</v>
      </c>
      <c r="I22" s="21" t="str">
        <f t="shared" si="0"/>
        <v>Logistique</v>
      </c>
      <c r="J22" s="21" t="str">
        <f t="shared" si="1"/>
        <v>Goma</v>
      </c>
      <c r="K22" s="21">
        <f t="shared" si="2"/>
        <v>1</v>
      </c>
      <c r="L22" s="21">
        <f t="shared" si="3"/>
        <v>1</v>
      </c>
      <c r="M22" s="21">
        <f t="shared" si="4"/>
        <v>0</v>
      </c>
      <c r="N22" s="21">
        <f t="shared" si="5"/>
        <v>0</v>
      </c>
      <c r="O22" s="21">
        <f t="shared" si="6"/>
        <v>7</v>
      </c>
      <c r="P22" s="21">
        <f t="shared" si="7"/>
        <v>0</v>
      </c>
      <c r="Q22" s="21">
        <f t="shared" si="8"/>
        <v>0</v>
      </c>
      <c r="R22" s="21">
        <f t="shared" si="9"/>
        <v>0</v>
      </c>
      <c r="S22" s="21">
        <f t="shared" si="10"/>
        <v>0</v>
      </c>
      <c r="T22" s="21">
        <f t="shared" si="11"/>
        <v>0</v>
      </c>
      <c r="U22" s="21">
        <f t="shared" si="12"/>
        <v>0</v>
      </c>
      <c r="V22" s="21">
        <f t="shared" si="13"/>
        <v>0</v>
      </c>
      <c r="W22" s="21">
        <f t="shared" si="14"/>
        <v>0</v>
      </c>
      <c r="X22" s="21">
        <f t="shared" si="15"/>
        <v>0</v>
      </c>
      <c r="Y22" s="21">
        <f t="shared" si="16"/>
        <v>7</v>
      </c>
    </row>
    <row r="23" spans="1:25" x14ac:dyDescent="0.25">
      <c r="A23" s="21" t="s">
        <v>323</v>
      </c>
      <c r="B23" s="21" t="s">
        <v>216</v>
      </c>
      <c r="C23" s="21" t="s">
        <v>277</v>
      </c>
      <c r="D23" s="21" t="s">
        <v>87</v>
      </c>
      <c r="E23" s="25">
        <v>46092</v>
      </c>
      <c r="F23" s="25">
        <v>46099</v>
      </c>
      <c r="G23" s="21">
        <v>6</v>
      </c>
      <c r="H23" s="21" t="s">
        <v>304</v>
      </c>
      <c r="I23" s="21" t="str">
        <f t="shared" si="0"/>
        <v>Commercial et service client</v>
      </c>
      <c r="J23" s="21" t="str">
        <f t="shared" si="1"/>
        <v>Beni</v>
      </c>
      <c r="K23" s="21">
        <f t="shared" si="2"/>
        <v>1</v>
      </c>
      <c r="L23" s="21">
        <f t="shared" si="3"/>
        <v>1</v>
      </c>
      <c r="M23" s="21">
        <f t="shared" si="4"/>
        <v>0</v>
      </c>
      <c r="N23" s="21">
        <f t="shared" si="5"/>
        <v>0</v>
      </c>
      <c r="O23" s="21">
        <f t="shared" si="6"/>
        <v>6</v>
      </c>
      <c r="P23" s="21">
        <f t="shared" si="7"/>
        <v>0</v>
      </c>
      <c r="Q23" s="21">
        <f t="shared" si="8"/>
        <v>0</v>
      </c>
      <c r="R23" s="21">
        <f t="shared" si="9"/>
        <v>0</v>
      </c>
      <c r="S23" s="21">
        <f t="shared" si="10"/>
        <v>0</v>
      </c>
      <c r="T23" s="21">
        <f t="shared" si="11"/>
        <v>0</v>
      </c>
      <c r="U23" s="21">
        <f t="shared" si="12"/>
        <v>0</v>
      </c>
      <c r="V23" s="21">
        <f t="shared" si="13"/>
        <v>0</v>
      </c>
      <c r="W23" s="21">
        <f t="shared" si="14"/>
        <v>0</v>
      </c>
      <c r="X23" s="21">
        <f t="shared" si="15"/>
        <v>0</v>
      </c>
      <c r="Y23" s="21">
        <f t="shared" si="16"/>
        <v>6</v>
      </c>
    </row>
    <row r="24" spans="1:25" x14ac:dyDescent="0.25">
      <c r="A24" s="21" t="s">
        <v>324</v>
      </c>
      <c r="B24" s="21" t="s">
        <v>177</v>
      </c>
      <c r="C24" s="21" t="s">
        <v>259</v>
      </c>
      <c r="D24" s="21" t="s">
        <v>87</v>
      </c>
      <c r="E24" s="25">
        <v>46093</v>
      </c>
      <c r="F24" s="25">
        <v>46104</v>
      </c>
      <c r="G24" s="21">
        <v>8</v>
      </c>
      <c r="H24" s="21" t="s">
        <v>304</v>
      </c>
      <c r="I24" s="21" t="str">
        <f t="shared" si="0"/>
        <v>Logistique</v>
      </c>
      <c r="J24" s="21" t="str">
        <f t="shared" si="1"/>
        <v>Goma</v>
      </c>
      <c r="K24" s="21">
        <f t="shared" si="2"/>
        <v>1</v>
      </c>
      <c r="L24" s="21">
        <f t="shared" si="3"/>
        <v>1</v>
      </c>
      <c r="M24" s="21">
        <f t="shared" si="4"/>
        <v>0</v>
      </c>
      <c r="N24" s="21">
        <f t="shared" si="5"/>
        <v>0</v>
      </c>
      <c r="O24" s="21">
        <f t="shared" si="6"/>
        <v>8</v>
      </c>
      <c r="P24" s="21">
        <f t="shared" si="7"/>
        <v>0</v>
      </c>
      <c r="Q24" s="21">
        <f t="shared" si="8"/>
        <v>0</v>
      </c>
      <c r="R24" s="21">
        <f t="shared" si="9"/>
        <v>0</v>
      </c>
      <c r="S24" s="21">
        <f t="shared" si="10"/>
        <v>0</v>
      </c>
      <c r="T24" s="21">
        <f t="shared" si="11"/>
        <v>0</v>
      </c>
      <c r="U24" s="21">
        <f t="shared" si="12"/>
        <v>0</v>
      </c>
      <c r="V24" s="21">
        <f t="shared" si="13"/>
        <v>0</v>
      </c>
      <c r="W24" s="21">
        <f t="shared" si="14"/>
        <v>0</v>
      </c>
      <c r="X24" s="21">
        <f t="shared" si="15"/>
        <v>0</v>
      </c>
      <c r="Y24" s="21">
        <f t="shared" si="16"/>
        <v>8</v>
      </c>
    </row>
    <row r="25" spans="1:25" x14ac:dyDescent="0.25">
      <c r="A25" s="21" t="s">
        <v>325</v>
      </c>
      <c r="B25" s="21" t="s">
        <v>155</v>
      </c>
      <c r="C25" s="21" t="s">
        <v>246</v>
      </c>
      <c r="D25" s="21" t="s">
        <v>90</v>
      </c>
      <c r="E25" s="25">
        <v>46097</v>
      </c>
      <c r="F25" s="25">
        <v>46100</v>
      </c>
      <c r="G25" s="21">
        <v>4</v>
      </c>
      <c r="H25" s="21" t="s">
        <v>304</v>
      </c>
      <c r="I25" s="21" t="str">
        <f t="shared" si="0"/>
        <v>Finance</v>
      </c>
      <c r="J25" s="21" t="str">
        <f t="shared" si="1"/>
        <v>Goma</v>
      </c>
      <c r="K25" s="21">
        <f t="shared" si="2"/>
        <v>1</v>
      </c>
      <c r="L25" s="21">
        <f t="shared" si="3"/>
        <v>1</v>
      </c>
      <c r="M25" s="21">
        <f t="shared" si="4"/>
        <v>0</v>
      </c>
      <c r="N25" s="21">
        <f t="shared" si="5"/>
        <v>0</v>
      </c>
      <c r="O25" s="21">
        <f t="shared" si="6"/>
        <v>4</v>
      </c>
      <c r="P25" s="21">
        <f t="shared" si="7"/>
        <v>0</v>
      </c>
      <c r="Q25" s="21">
        <f t="shared" si="8"/>
        <v>0</v>
      </c>
      <c r="R25" s="21">
        <f t="shared" si="9"/>
        <v>0</v>
      </c>
      <c r="S25" s="21">
        <f t="shared" si="10"/>
        <v>0</v>
      </c>
      <c r="T25" s="21">
        <f t="shared" si="11"/>
        <v>0</v>
      </c>
      <c r="U25" s="21">
        <f t="shared" si="12"/>
        <v>0</v>
      </c>
      <c r="V25" s="21">
        <f t="shared" si="13"/>
        <v>0</v>
      </c>
      <c r="W25" s="21">
        <f t="shared" si="14"/>
        <v>0</v>
      </c>
      <c r="X25" s="21">
        <f t="shared" si="15"/>
        <v>0</v>
      </c>
      <c r="Y25" s="21">
        <f t="shared" si="16"/>
        <v>4</v>
      </c>
    </row>
    <row r="26" spans="1:25" x14ac:dyDescent="0.25">
      <c r="A26" s="21" t="s">
        <v>326</v>
      </c>
      <c r="B26" s="21" t="s">
        <v>170</v>
      </c>
      <c r="C26" s="21" t="s">
        <v>257</v>
      </c>
      <c r="D26" s="21" t="s">
        <v>87</v>
      </c>
      <c r="E26" s="25">
        <v>46101</v>
      </c>
      <c r="F26" s="25">
        <v>46111</v>
      </c>
      <c r="G26" s="21">
        <v>7</v>
      </c>
      <c r="H26" s="21" t="s">
        <v>304</v>
      </c>
      <c r="I26" s="21" t="str">
        <f t="shared" si="0"/>
        <v>Logistique</v>
      </c>
      <c r="J26" s="21" t="str">
        <f t="shared" si="1"/>
        <v>Bukavu</v>
      </c>
      <c r="K26" s="21">
        <f t="shared" si="2"/>
        <v>1</v>
      </c>
      <c r="L26" s="21">
        <f t="shared" si="3"/>
        <v>1</v>
      </c>
      <c r="M26" s="21">
        <f t="shared" si="4"/>
        <v>0</v>
      </c>
      <c r="N26" s="21">
        <f t="shared" si="5"/>
        <v>0</v>
      </c>
      <c r="O26" s="21">
        <f t="shared" si="6"/>
        <v>7</v>
      </c>
      <c r="P26" s="21">
        <f t="shared" si="7"/>
        <v>0</v>
      </c>
      <c r="Q26" s="21">
        <f t="shared" si="8"/>
        <v>0</v>
      </c>
      <c r="R26" s="21">
        <f t="shared" si="9"/>
        <v>0</v>
      </c>
      <c r="S26" s="21">
        <f t="shared" si="10"/>
        <v>0</v>
      </c>
      <c r="T26" s="21">
        <f t="shared" si="11"/>
        <v>0</v>
      </c>
      <c r="U26" s="21">
        <f t="shared" si="12"/>
        <v>0</v>
      </c>
      <c r="V26" s="21">
        <f t="shared" si="13"/>
        <v>0</v>
      </c>
      <c r="W26" s="21">
        <f t="shared" si="14"/>
        <v>0</v>
      </c>
      <c r="X26" s="21">
        <f t="shared" si="15"/>
        <v>0</v>
      </c>
      <c r="Y26" s="21">
        <f t="shared" si="16"/>
        <v>7</v>
      </c>
    </row>
    <row r="27" spans="1:25" x14ac:dyDescent="0.25">
      <c r="A27" s="21" t="s">
        <v>327</v>
      </c>
      <c r="B27" s="21" t="s">
        <v>173</v>
      </c>
      <c r="C27" s="21" t="s">
        <v>258</v>
      </c>
      <c r="D27" s="21" t="s">
        <v>87</v>
      </c>
      <c r="E27" s="25">
        <v>46111</v>
      </c>
      <c r="F27" s="25">
        <v>46120</v>
      </c>
      <c r="G27" s="21">
        <v>8</v>
      </c>
      <c r="H27" s="21" t="s">
        <v>304</v>
      </c>
      <c r="I27" s="21" t="str">
        <f t="shared" si="0"/>
        <v>Logistique</v>
      </c>
      <c r="J27" s="21" t="str">
        <f t="shared" si="1"/>
        <v>Beni</v>
      </c>
      <c r="K27" s="21">
        <f t="shared" si="2"/>
        <v>1</v>
      </c>
      <c r="L27" s="21">
        <f t="shared" si="3"/>
        <v>1</v>
      </c>
      <c r="M27" s="21">
        <f t="shared" si="4"/>
        <v>0</v>
      </c>
      <c r="N27" s="21">
        <f t="shared" si="5"/>
        <v>0</v>
      </c>
      <c r="O27" s="21">
        <f t="shared" si="6"/>
        <v>2</v>
      </c>
      <c r="P27" s="21">
        <f t="shared" si="7"/>
        <v>6</v>
      </c>
      <c r="Q27" s="21">
        <f t="shared" si="8"/>
        <v>0</v>
      </c>
      <c r="R27" s="21">
        <f t="shared" si="9"/>
        <v>0</v>
      </c>
      <c r="S27" s="21">
        <f t="shared" si="10"/>
        <v>0</v>
      </c>
      <c r="T27" s="21">
        <f t="shared" si="11"/>
        <v>0</v>
      </c>
      <c r="U27" s="21">
        <f t="shared" si="12"/>
        <v>0</v>
      </c>
      <c r="V27" s="21">
        <f t="shared" si="13"/>
        <v>0</v>
      </c>
      <c r="W27" s="21">
        <f t="shared" si="14"/>
        <v>0</v>
      </c>
      <c r="X27" s="21">
        <f t="shared" si="15"/>
        <v>0</v>
      </c>
      <c r="Y27" s="21">
        <f t="shared" si="16"/>
        <v>8</v>
      </c>
    </row>
    <row r="28" spans="1:25" x14ac:dyDescent="0.25">
      <c r="A28" s="21" t="s">
        <v>328</v>
      </c>
      <c r="B28" s="21" t="s">
        <v>182</v>
      </c>
      <c r="C28" s="21" t="s">
        <v>263</v>
      </c>
      <c r="D28" s="21" t="s">
        <v>87</v>
      </c>
      <c r="E28" s="25">
        <v>46112</v>
      </c>
      <c r="F28" s="25">
        <v>46125</v>
      </c>
      <c r="G28" s="21">
        <v>10</v>
      </c>
      <c r="H28" s="21" t="s">
        <v>304</v>
      </c>
      <c r="I28" s="21" t="str">
        <f t="shared" si="0"/>
        <v>Opérations techniques</v>
      </c>
      <c r="J28" s="21" t="str">
        <f t="shared" si="1"/>
        <v>Goma</v>
      </c>
      <c r="K28" s="21">
        <f t="shared" si="2"/>
        <v>1</v>
      </c>
      <c r="L28" s="21">
        <f t="shared" si="3"/>
        <v>1</v>
      </c>
      <c r="M28" s="21">
        <f t="shared" si="4"/>
        <v>0</v>
      </c>
      <c r="N28" s="21">
        <f t="shared" si="5"/>
        <v>0</v>
      </c>
      <c r="O28" s="21">
        <f t="shared" si="6"/>
        <v>1</v>
      </c>
      <c r="P28" s="21">
        <f t="shared" si="7"/>
        <v>9</v>
      </c>
      <c r="Q28" s="21">
        <f t="shared" si="8"/>
        <v>0</v>
      </c>
      <c r="R28" s="21">
        <f t="shared" si="9"/>
        <v>0</v>
      </c>
      <c r="S28" s="21">
        <f t="shared" si="10"/>
        <v>0</v>
      </c>
      <c r="T28" s="21">
        <f t="shared" si="11"/>
        <v>0</v>
      </c>
      <c r="U28" s="21">
        <f t="shared" si="12"/>
        <v>0</v>
      </c>
      <c r="V28" s="21">
        <f t="shared" si="13"/>
        <v>0</v>
      </c>
      <c r="W28" s="21">
        <f t="shared" si="14"/>
        <v>0</v>
      </c>
      <c r="X28" s="21">
        <f t="shared" si="15"/>
        <v>0</v>
      </c>
      <c r="Y28" s="21">
        <f t="shared" si="16"/>
        <v>10</v>
      </c>
    </row>
    <row r="29" spans="1:25" x14ac:dyDescent="0.25">
      <c r="A29" s="21" t="s">
        <v>329</v>
      </c>
      <c r="B29" s="21" t="s">
        <v>226</v>
      </c>
      <c r="C29" s="21" t="s">
        <v>283</v>
      </c>
      <c r="D29" s="21" t="s">
        <v>87</v>
      </c>
      <c r="E29" s="25">
        <v>46114</v>
      </c>
      <c r="F29" s="25">
        <v>46122</v>
      </c>
      <c r="G29" s="21">
        <v>7</v>
      </c>
      <c r="H29" s="21" t="s">
        <v>304</v>
      </c>
      <c r="I29" s="21" t="str">
        <f t="shared" si="0"/>
        <v>Services généraux</v>
      </c>
      <c r="J29" s="21" t="str">
        <f t="shared" si="1"/>
        <v>Goma</v>
      </c>
      <c r="K29" s="21">
        <f t="shared" si="2"/>
        <v>1</v>
      </c>
      <c r="L29" s="21">
        <f t="shared" si="3"/>
        <v>1</v>
      </c>
      <c r="M29" s="21">
        <f t="shared" si="4"/>
        <v>0</v>
      </c>
      <c r="N29" s="21">
        <f t="shared" si="5"/>
        <v>0</v>
      </c>
      <c r="O29" s="21">
        <f t="shared" si="6"/>
        <v>0</v>
      </c>
      <c r="P29" s="21">
        <f t="shared" si="7"/>
        <v>7</v>
      </c>
      <c r="Q29" s="21">
        <f t="shared" si="8"/>
        <v>0</v>
      </c>
      <c r="R29" s="21">
        <f t="shared" si="9"/>
        <v>0</v>
      </c>
      <c r="S29" s="21">
        <f t="shared" si="10"/>
        <v>0</v>
      </c>
      <c r="T29" s="21">
        <f t="shared" si="11"/>
        <v>0</v>
      </c>
      <c r="U29" s="21">
        <f t="shared" si="12"/>
        <v>0</v>
      </c>
      <c r="V29" s="21">
        <f t="shared" si="13"/>
        <v>0</v>
      </c>
      <c r="W29" s="21">
        <f t="shared" si="14"/>
        <v>0</v>
      </c>
      <c r="X29" s="21">
        <f t="shared" si="15"/>
        <v>0</v>
      </c>
      <c r="Y29" s="21">
        <f t="shared" si="16"/>
        <v>7</v>
      </c>
    </row>
    <row r="30" spans="1:25" x14ac:dyDescent="0.25">
      <c r="A30" s="21" t="s">
        <v>330</v>
      </c>
      <c r="B30" s="21" t="s">
        <v>199</v>
      </c>
      <c r="C30" s="21" t="s">
        <v>269</v>
      </c>
      <c r="D30" s="21" t="s">
        <v>88</v>
      </c>
      <c r="E30" s="25">
        <v>46118</v>
      </c>
      <c r="F30" s="25">
        <v>46119</v>
      </c>
      <c r="G30" s="21">
        <v>2</v>
      </c>
      <c r="H30" s="21" t="s">
        <v>304</v>
      </c>
      <c r="I30" s="21" t="str">
        <f t="shared" si="0"/>
        <v>Opérations techniques</v>
      </c>
      <c r="J30" s="21" t="str">
        <f t="shared" si="1"/>
        <v>Bukavu</v>
      </c>
      <c r="K30" s="21">
        <f t="shared" si="2"/>
        <v>1</v>
      </c>
      <c r="L30" s="21">
        <f t="shared" si="3"/>
        <v>1</v>
      </c>
      <c r="M30" s="21">
        <f t="shared" si="4"/>
        <v>0</v>
      </c>
      <c r="N30" s="21">
        <f t="shared" si="5"/>
        <v>0</v>
      </c>
      <c r="O30" s="21">
        <f t="shared" si="6"/>
        <v>0</v>
      </c>
      <c r="P30" s="21">
        <f t="shared" si="7"/>
        <v>2</v>
      </c>
      <c r="Q30" s="21">
        <f t="shared" si="8"/>
        <v>0</v>
      </c>
      <c r="R30" s="21">
        <f t="shared" si="9"/>
        <v>0</v>
      </c>
      <c r="S30" s="21">
        <f t="shared" si="10"/>
        <v>0</v>
      </c>
      <c r="T30" s="21">
        <f t="shared" si="11"/>
        <v>0</v>
      </c>
      <c r="U30" s="21">
        <f t="shared" si="12"/>
        <v>0</v>
      </c>
      <c r="V30" s="21">
        <f t="shared" si="13"/>
        <v>0</v>
      </c>
      <c r="W30" s="21">
        <f t="shared" si="14"/>
        <v>0</v>
      </c>
      <c r="X30" s="21">
        <f t="shared" si="15"/>
        <v>0</v>
      </c>
      <c r="Y30" s="21">
        <f t="shared" si="16"/>
        <v>2</v>
      </c>
    </row>
    <row r="31" spans="1:25" x14ac:dyDescent="0.25">
      <c r="A31" s="21" t="s">
        <v>331</v>
      </c>
      <c r="B31" s="21" t="s">
        <v>155</v>
      </c>
      <c r="C31" s="21" t="s">
        <v>246</v>
      </c>
      <c r="D31" s="21" t="s">
        <v>87</v>
      </c>
      <c r="E31" s="25">
        <v>46122</v>
      </c>
      <c r="F31" s="25">
        <v>46129</v>
      </c>
      <c r="G31" s="21">
        <v>6</v>
      </c>
      <c r="H31" s="21" t="s">
        <v>304</v>
      </c>
      <c r="I31" s="21" t="str">
        <f t="shared" si="0"/>
        <v>Finance</v>
      </c>
      <c r="J31" s="21" t="str">
        <f t="shared" si="1"/>
        <v>Goma</v>
      </c>
      <c r="K31" s="21">
        <f t="shared" si="2"/>
        <v>1</v>
      </c>
      <c r="L31" s="21">
        <f t="shared" si="3"/>
        <v>1</v>
      </c>
      <c r="M31" s="21">
        <f t="shared" si="4"/>
        <v>0</v>
      </c>
      <c r="N31" s="21">
        <f t="shared" si="5"/>
        <v>0</v>
      </c>
      <c r="O31" s="21">
        <f t="shared" si="6"/>
        <v>0</v>
      </c>
      <c r="P31" s="21">
        <f t="shared" si="7"/>
        <v>6</v>
      </c>
      <c r="Q31" s="21">
        <f t="shared" si="8"/>
        <v>0</v>
      </c>
      <c r="R31" s="21">
        <f t="shared" si="9"/>
        <v>0</v>
      </c>
      <c r="S31" s="21">
        <f t="shared" si="10"/>
        <v>0</v>
      </c>
      <c r="T31" s="21">
        <f t="shared" si="11"/>
        <v>0</v>
      </c>
      <c r="U31" s="21">
        <f t="shared" si="12"/>
        <v>0</v>
      </c>
      <c r="V31" s="21">
        <f t="shared" si="13"/>
        <v>0</v>
      </c>
      <c r="W31" s="21">
        <f t="shared" si="14"/>
        <v>0</v>
      </c>
      <c r="X31" s="21">
        <f t="shared" si="15"/>
        <v>0</v>
      </c>
      <c r="Y31" s="21">
        <f t="shared" si="16"/>
        <v>6</v>
      </c>
    </row>
    <row r="32" spans="1:25" x14ac:dyDescent="0.25">
      <c r="A32" s="21" t="s">
        <v>332</v>
      </c>
      <c r="B32" s="21" t="s">
        <v>149</v>
      </c>
      <c r="C32" s="21" t="s">
        <v>242</v>
      </c>
      <c r="D32" s="21" t="s">
        <v>87</v>
      </c>
      <c r="E32" s="25">
        <v>46125</v>
      </c>
      <c r="F32" s="25">
        <v>46140</v>
      </c>
      <c r="G32" s="21">
        <v>12</v>
      </c>
      <c r="H32" s="21" t="s">
        <v>304</v>
      </c>
      <c r="I32" s="21" t="str">
        <f t="shared" si="0"/>
        <v>Ressources humaines</v>
      </c>
      <c r="J32" s="21" t="str">
        <f t="shared" si="1"/>
        <v>Goma</v>
      </c>
      <c r="K32" s="21">
        <f t="shared" si="2"/>
        <v>1</v>
      </c>
      <c r="L32" s="21">
        <f t="shared" si="3"/>
        <v>1</v>
      </c>
      <c r="M32" s="21">
        <f t="shared" si="4"/>
        <v>0</v>
      </c>
      <c r="N32" s="21">
        <f t="shared" si="5"/>
        <v>0</v>
      </c>
      <c r="O32" s="21">
        <f t="shared" si="6"/>
        <v>0</v>
      </c>
      <c r="P32" s="21">
        <f t="shared" si="7"/>
        <v>12</v>
      </c>
      <c r="Q32" s="21">
        <f t="shared" si="8"/>
        <v>0</v>
      </c>
      <c r="R32" s="21">
        <f t="shared" si="9"/>
        <v>0</v>
      </c>
      <c r="S32" s="21">
        <f t="shared" si="10"/>
        <v>0</v>
      </c>
      <c r="T32" s="21">
        <f t="shared" si="11"/>
        <v>0</v>
      </c>
      <c r="U32" s="21">
        <f t="shared" si="12"/>
        <v>0</v>
      </c>
      <c r="V32" s="21">
        <f t="shared" si="13"/>
        <v>0</v>
      </c>
      <c r="W32" s="21">
        <f t="shared" si="14"/>
        <v>0</v>
      </c>
      <c r="X32" s="21">
        <f t="shared" si="15"/>
        <v>0</v>
      </c>
      <c r="Y32" s="21">
        <f t="shared" si="16"/>
        <v>12</v>
      </c>
    </row>
    <row r="33" spans="1:25" x14ac:dyDescent="0.25">
      <c r="A33" s="21" t="s">
        <v>333</v>
      </c>
      <c r="B33" s="21" t="s">
        <v>187</v>
      </c>
      <c r="C33" s="21" t="s">
        <v>266</v>
      </c>
      <c r="D33" s="21" t="s">
        <v>90</v>
      </c>
      <c r="E33" s="25">
        <v>46133</v>
      </c>
      <c r="F33" s="25">
        <v>46135</v>
      </c>
      <c r="G33" s="21">
        <v>3</v>
      </c>
      <c r="H33" s="21" t="s">
        <v>304</v>
      </c>
      <c r="I33" s="21" t="str">
        <f t="shared" si="0"/>
        <v>Opérations techniques</v>
      </c>
      <c r="J33" s="21" t="str">
        <f t="shared" si="1"/>
        <v>Goma</v>
      </c>
      <c r="K33" s="21">
        <f t="shared" si="2"/>
        <v>1</v>
      </c>
      <c r="L33" s="21">
        <f t="shared" si="3"/>
        <v>1</v>
      </c>
      <c r="M33" s="21">
        <f t="shared" si="4"/>
        <v>0</v>
      </c>
      <c r="N33" s="21">
        <f t="shared" si="5"/>
        <v>0</v>
      </c>
      <c r="O33" s="21">
        <f t="shared" si="6"/>
        <v>0</v>
      </c>
      <c r="P33" s="21">
        <f t="shared" si="7"/>
        <v>3</v>
      </c>
      <c r="Q33" s="21">
        <f t="shared" si="8"/>
        <v>0</v>
      </c>
      <c r="R33" s="21">
        <f t="shared" si="9"/>
        <v>0</v>
      </c>
      <c r="S33" s="21">
        <f t="shared" si="10"/>
        <v>0</v>
      </c>
      <c r="T33" s="21">
        <f t="shared" si="11"/>
        <v>0</v>
      </c>
      <c r="U33" s="21">
        <f t="shared" si="12"/>
        <v>0</v>
      </c>
      <c r="V33" s="21">
        <f t="shared" si="13"/>
        <v>0</v>
      </c>
      <c r="W33" s="21">
        <f t="shared" si="14"/>
        <v>0</v>
      </c>
      <c r="X33" s="21">
        <f t="shared" si="15"/>
        <v>0</v>
      </c>
      <c r="Y33" s="21">
        <f t="shared" si="16"/>
        <v>3</v>
      </c>
    </row>
    <row r="34" spans="1:25" x14ac:dyDescent="0.25">
      <c r="A34" s="21" t="s">
        <v>334</v>
      </c>
      <c r="B34" s="21" t="s">
        <v>185</v>
      </c>
      <c r="C34" s="21" t="s">
        <v>265</v>
      </c>
      <c r="D34" s="21" t="s">
        <v>90</v>
      </c>
      <c r="E34" s="25">
        <v>46136</v>
      </c>
      <c r="F34" s="25">
        <v>46140</v>
      </c>
      <c r="G34" s="21">
        <v>3</v>
      </c>
      <c r="H34" s="21" t="s">
        <v>304</v>
      </c>
      <c r="I34" s="21" t="str">
        <f t="shared" si="0"/>
        <v>Opérations techniques</v>
      </c>
      <c r="J34" s="21" t="str">
        <f t="shared" si="1"/>
        <v>Bukavu</v>
      </c>
      <c r="K34" s="21">
        <f t="shared" si="2"/>
        <v>1</v>
      </c>
      <c r="L34" s="21">
        <f t="shared" si="3"/>
        <v>1</v>
      </c>
      <c r="M34" s="21">
        <f t="shared" si="4"/>
        <v>0</v>
      </c>
      <c r="N34" s="21">
        <f t="shared" si="5"/>
        <v>0</v>
      </c>
      <c r="O34" s="21">
        <f t="shared" si="6"/>
        <v>0</v>
      </c>
      <c r="P34" s="21">
        <f t="shared" si="7"/>
        <v>3</v>
      </c>
      <c r="Q34" s="21">
        <f t="shared" si="8"/>
        <v>0</v>
      </c>
      <c r="R34" s="21">
        <f t="shared" si="9"/>
        <v>0</v>
      </c>
      <c r="S34" s="21">
        <f t="shared" si="10"/>
        <v>0</v>
      </c>
      <c r="T34" s="21">
        <f t="shared" si="11"/>
        <v>0</v>
      </c>
      <c r="U34" s="21">
        <f t="shared" si="12"/>
        <v>0</v>
      </c>
      <c r="V34" s="21">
        <f t="shared" si="13"/>
        <v>0</v>
      </c>
      <c r="W34" s="21">
        <f t="shared" si="14"/>
        <v>0</v>
      </c>
      <c r="X34" s="21">
        <f t="shared" si="15"/>
        <v>0</v>
      </c>
      <c r="Y34" s="21">
        <f t="shared" si="16"/>
        <v>3</v>
      </c>
    </row>
    <row r="35" spans="1:25" x14ac:dyDescent="0.25">
      <c r="A35" s="21" t="s">
        <v>335</v>
      </c>
      <c r="B35" s="21" t="s">
        <v>223</v>
      </c>
      <c r="C35" s="21" t="s">
        <v>281</v>
      </c>
      <c r="D35" s="21" t="s">
        <v>90</v>
      </c>
      <c r="E35" s="25">
        <v>46139</v>
      </c>
      <c r="F35" s="25">
        <v>46140</v>
      </c>
      <c r="G35" s="21">
        <v>2</v>
      </c>
      <c r="H35" s="21" t="s">
        <v>304</v>
      </c>
      <c r="I35" s="21" t="str">
        <f t="shared" si="0"/>
        <v>Informatique</v>
      </c>
      <c r="J35" s="21" t="str">
        <f t="shared" si="1"/>
        <v>Goma</v>
      </c>
      <c r="K35" s="21">
        <f t="shared" si="2"/>
        <v>1</v>
      </c>
      <c r="L35" s="21">
        <f t="shared" si="3"/>
        <v>1</v>
      </c>
      <c r="M35" s="21">
        <f t="shared" si="4"/>
        <v>0</v>
      </c>
      <c r="N35" s="21">
        <f t="shared" si="5"/>
        <v>0</v>
      </c>
      <c r="O35" s="21">
        <f t="shared" si="6"/>
        <v>0</v>
      </c>
      <c r="P35" s="21">
        <f t="shared" si="7"/>
        <v>2</v>
      </c>
      <c r="Q35" s="21">
        <f t="shared" si="8"/>
        <v>0</v>
      </c>
      <c r="R35" s="21">
        <f t="shared" si="9"/>
        <v>0</v>
      </c>
      <c r="S35" s="21">
        <f t="shared" si="10"/>
        <v>0</v>
      </c>
      <c r="T35" s="21">
        <f t="shared" si="11"/>
        <v>0</v>
      </c>
      <c r="U35" s="21">
        <f t="shared" si="12"/>
        <v>0</v>
      </c>
      <c r="V35" s="21">
        <f t="shared" si="13"/>
        <v>0</v>
      </c>
      <c r="W35" s="21">
        <f t="shared" si="14"/>
        <v>0</v>
      </c>
      <c r="X35" s="21">
        <f t="shared" si="15"/>
        <v>0</v>
      </c>
      <c r="Y35" s="21">
        <f t="shared" si="16"/>
        <v>2</v>
      </c>
    </row>
    <row r="36" spans="1:25" x14ac:dyDescent="0.25">
      <c r="A36" s="21" t="s">
        <v>336</v>
      </c>
      <c r="B36" s="21" t="s">
        <v>170</v>
      </c>
      <c r="C36" s="21" t="s">
        <v>257</v>
      </c>
      <c r="D36" s="21" t="s">
        <v>90</v>
      </c>
      <c r="E36" s="25">
        <v>46142</v>
      </c>
      <c r="F36" s="25">
        <v>46146</v>
      </c>
      <c r="G36" s="21">
        <v>3</v>
      </c>
      <c r="H36" s="21" t="s">
        <v>304</v>
      </c>
      <c r="I36" s="21" t="str">
        <f t="shared" ref="I36:I67" si="17">INDEX(cl_dep,MATCH(B36,cl_mat,0))</f>
        <v>Logistique</v>
      </c>
      <c r="J36" s="21" t="str">
        <f t="shared" ref="J36:J67" si="18">INDEX(cl_bur,MATCH(B36,cl_mat,0))</f>
        <v>Bukavu</v>
      </c>
      <c r="K36" s="21">
        <f t="shared" ref="K36:K67" si="19">IF(AND(OR(FiltreDep="Tous",I36=FiltreDep),OR(FiltreBur="Tous",J36=FiltreBur)),1,0)</f>
        <v>1</v>
      </c>
      <c r="L36" s="21">
        <f t="shared" ref="L36:L67" si="20">IF(OR(H36="Approuvée",H36="Constatée"),1,0)</f>
        <v>1</v>
      </c>
      <c r="M36" s="21">
        <f t="shared" ref="M36:M67" si="21">IF($L36=0,0,MAX(0,NETWORKDAYS(MAX($E36,DATE(YEAR(DateSit),1,1)),MIN($F36,EOMONTH(DATE(YEAR(DateSit),1,1),0),DateSit))))</f>
        <v>0</v>
      </c>
      <c r="N36" s="21">
        <f t="shared" ref="N36:N67" si="22">IF($L36=0,0,MAX(0,NETWORKDAYS(MAX($E36,DATE(YEAR(DateSit),2,1)),MIN($F36,EOMONTH(DATE(YEAR(DateSit),2,1),0),DateSit))))</f>
        <v>0</v>
      </c>
      <c r="O36" s="21">
        <f t="shared" ref="O36:O67" si="23">IF($L36=0,0,MAX(0,NETWORKDAYS(MAX($E36,DATE(YEAR(DateSit),3,1)),MIN($F36,EOMONTH(DATE(YEAR(DateSit),3,1),0),DateSit))))</f>
        <v>0</v>
      </c>
      <c r="P36" s="21">
        <f t="shared" ref="P36:P67" si="24">IF($L36=0,0,MAX(0,NETWORKDAYS(MAX($E36,DATE(YEAR(DateSit),4,1)),MIN($F36,EOMONTH(DATE(YEAR(DateSit),4,1),0),DateSit))))</f>
        <v>1</v>
      </c>
      <c r="Q36" s="21">
        <f t="shared" ref="Q36:Q67" si="25">IF($L36=0,0,MAX(0,NETWORKDAYS(MAX($E36,DATE(YEAR(DateSit),5,1)),MIN($F36,EOMONTH(DATE(YEAR(DateSit),5,1),0),DateSit))))</f>
        <v>2</v>
      </c>
      <c r="R36" s="21">
        <f t="shared" ref="R36:R67" si="26">IF($L36=0,0,MAX(0,NETWORKDAYS(MAX($E36,DATE(YEAR(DateSit),6,1)),MIN($F36,EOMONTH(DATE(YEAR(DateSit),6,1),0),DateSit))))</f>
        <v>0</v>
      </c>
      <c r="S36" s="21">
        <f t="shared" ref="S36:S67" si="27">IF($L36=0,0,MAX(0,NETWORKDAYS(MAX($E36,DATE(YEAR(DateSit),7,1)),MIN($F36,EOMONTH(DATE(YEAR(DateSit),7,1),0),DateSit))))</f>
        <v>0</v>
      </c>
      <c r="T36" s="21">
        <f t="shared" ref="T36:T67" si="28">IF($L36=0,0,MAX(0,NETWORKDAYS(MAX($E36,DATE(YEAR(DateSit),8,1)),MIN($F36,EOMONTH(DATE(YEAR(DateSit),8,1),0),DateSit))))</f>
        <v>0</v>
      </c>
      <c r="U36" s="21">
        <f t="shared" ref="U36:U67" si="29">IF($L36=0,0,MAX(0,NETWORKDAYS(MAX($E36,DATE(YEAR(DateSit),9,1)),MIN($F36,EOMONTH(DATE(YEAR(DateSit),9,1),0),DateSit))))</f>
        <v>0</v>
      </c>
      <c r="V36" s="21">
        <f t="shared" ref="V36:V67" si="30">IF($L36=0,0,MAX(0,NETWORKDAYS(MAX($E36,DATE(YEAR(DateSit),10,1)),MIN($F36,EOMONTH(DATE(YEAR(DateSit),10,1),0),DateSit))))</f>
        <v>0</v>
      </c>
      <c r="W36" s="21">
        <f t="shared" ref="W36:W67" si="31">IF($L36=0,0,MAX(0,NETWORKDAYS(MAX($E36,DATE(YEAR(DateSit),11,1)),MIN($F36,EOMONTH(DATE(YEAR(DateSit),11,1),0),DateSit))))</f>
        <v>0</v>
      </c>
      <c r="X36" s="21">
        <f t="shared" ref="X36:X67" si="32">IF($L36=0,0,MAX(0,NETWORKDAYS(MAX($E36,DATE(YEAR(DateSit),12,1)),MIN($F36,EOMONTH(DATE(YEAR(DateSit),12,1),0),DateSit))))</f>
        <v>0</v>
      </c>
      <c r="Y36" s="21">
        <f t="shared" ref="Y36:Y67" si="33">SUM(M36:X36)</f>
        <v>3</v>
      </c>
    </row>
    <row r="37" spans="1:25" x14ac:dyDescent="0.25">
      <c r="A37" s="21" t="s">
        <v>337</v>
      </c>
      <c r="B37" s="21" t="s">
        <v>157</v>
      </c>
      <c r="C37" s="21" t="s">
        <v>248</v>
      </c>
      <c r="D37" s="21" t="s">
        <v>87</v>
      </c>
      <c r="E37" s="25">
        <v>46149</v>
      </c>
      <c r="F37" s="25">
        <v>46156</v>
      </c>
      <c r="G37" s="21">
        <v>6</v>
      </c>
      <c r="H37" s="21" t="s">
        <v>304</v>
      </c>
      <c r="I37" s="21" t="str">
        <f t="shared" si="17"/>
        <v>Finance</v>
      </c>
      <c r="J37" s="21" t="str">
        <f t="shared" si="18"/>
        <v>Goma</v>
      </c>
      <c r="K37" s="21">
        <f t="shared" si="19"/>
        <v>1</v>
      </c>
      <c r="L37" s="21">
        <f t="shared" si="20"/>
        <v>1</v>
      </c>
      <c r="M37" s="21">
        <f t="shared" si="21"/>
        <v>0</v>
      </c>
      <c r="N37" s="21">
        <f t="shared" si="22"/>
        <v>0</v>
      </c>
      <c r="O37" s="21">
        <f t="shared" si="23"/>
        <v>0</v>
      </c>
      <c r="P37" s="21">
        <f t="shared" si="24"/>
        <v>0</v>
      </c>
      <c r="Q37" s="21">
        <f t="shared" si="25"/>
        <v>6</v>
      </c>
      <c r="R37" s="21">
        <f t="shared" si="26"/>
        <v>0</v>
      </c>
      <c r="S37" s="21">
        <f t="shared" si="27"/>
        <v>0</v>
      </c>
      <c r="T37" s="21">
        <f t="shared" si="28"/>
        <v>0</v>
      </c>
      <c r="U37" s="21">
        <f t="shared" si="29"/>
        <v>0</v>
      </c>
      <c r="V37" s="21">
        <f t="shared" si="30"/>
        <v>0</v>
      </c>
      <c r="W37" s="21">
        <f t="shared" si="31"/>
        <v>0</v>
      </c>
      <c r="X37" s="21">
        <f t="shared" si="32"/>
        <v>0</v>
      </c>
      <c r="Y37" s="21">
        <f t="shared" si="33"/>
        <v>6</v>
      </c>
    </row>
    <row r="38" spans="1:25" x14ac:dyDescent="0.25">
      <c r="A38" s="21" t="s">
        <v>338</v>
      </c>
      <c r="B38" s="21" t="s">
        <v>143</v>
      </c>
      <c r="C38" s="21" t="s">
        <v>240</v>
      </c>
      <c r="D38" s="21" t="s">
        <v>90</v>
      </c>
      <c r="E38" s="25">
        <v>46160</v>
      </c>
      <c r="F38" s="25">
        <v>46161</v>
      </c>
      <c r="G38" s="21">
        <v>2</v>
      </c>
      <c r="H38" s="21" t="s">
        <v>304</v>
      </c>
      <c r="I38" s="21" t="str">
        <f t="shared" si="17"/>
        <v>Direction</v>
      </c>
      <c r="J38" s="21" t="str">
        <f t="shared" si="18"/>
        <v>Goma</v>
      </c>
      <c r="K38" s="21">
        <f t="shared" si="19"/>
        <v>1</v>
      </c>
      <c r="L38" s="21">
        <f t="shared" si="20"/>
        <v>1</v>
      </c>
      <c r="M38" s="21">
        <f t="shared" si="21"/>
        <v>0</v>
      </c>
      <c r="N38" s="21">
        <f t="shared" si="22"/>
        <v>0</v>
      </c>
      <c r="O38" s="21">
        <f t="shared" si="23"/>
        <v>0</v>
      </c>
      <c r="P38" s="21">
        <f t="shared" si="24"/>
        <v>0</v>
      </c>
      <c r="Q38" s="21">
        <f t="shared" si="25"/>
        <v>2</v>
      </c>
      <c r="R38" s="21">
        <f t="shared" si="26"/>
        <v>0</v>
      </c>
      <c r="S38" s="21">
        <f t="shared" si="27"/>
        <v>0</v>
      </c>
      <c r="T38" s="21">
        <f t="shared" si="28"/>
        <v>0</v>
      </c>
      <c r="U38" s="21">
        <f t="shared" si="29"/>
        <v>0</v>
      </c>
      <c r="V38" s="21">
        <f t="shared" si="30"/>
        <v>0</v>
      </c>
      <c r="W38" s="21">
        <f t="shared" si="31"/>
        <v>0</v>
      </c>
      <c r="X38" s="21">
        <f t="shared" si="32"/>
        <v>0</v>
      </c>
      <c r="Y38" s="21">
        <f t="shared" si="33"/>
        <v>2</v>
      </c>
    </row>
    <row r="39" spans="1:25" x14ac:dyDescent="0.25">
      <c r="A39" s="21" t="s">
        <v>339</v>
      </c>
      <c r="B39" s="21" t="s">
        <v>187</v>
      </c>
      <c r="C39" s="21" t="s">
        <v>266</v>
      </c>
      <c r="D39" s="21" t="s">
        <v>88</v>
      </c>
      <c r="E39" s="25">
        <v>46160</v>
      </c>
      <c r="F39" s="25">
        <v>46162</v>
      </c>
      <c r="G39" s="21">
        <v>3</v>
      </c>
      <c r="H39" s="21" t="s">
        <v>304</v>
      </c>
      <c r="I39" s="21" t="str">
        <f t="shared" si="17"/>
        <v>Opérations techniques</v>
      </c>
      <c r="J39" s="21" t="str">
        <f t="shared" si="18"/>
        <v>Goma</v>
      </c>
      <c r="K39" s="21">
        <f t="shared" si="19"/>
        <v>1</v>
      </c>
      <c r="L39" s="21">
        <f t="shared" si="20"/>
        <v>1</v>
      </c>
      <c r="M39" s="21">
        <f t="shared" si="21"/>
        <v>0</v>
      </c>
      <c r="N39" s="21">
        <f t="shared" si="22"/>
        <v>0</v>
      </c>
      <c r="O39" s="21">
        <f t="shared" si="23"/>
        <v>0</v>
      </c>
      <c r="P39" s="21">
        <f t="shared" si="24"/>
        <v>0</v>
      </c>
      <c r="Q39" s="21">
        <f t="shared" si="25"/>
        <v>3</v>
      </c>
      <c r="R39" s="21">
        <f t="shared" si="26"/>
        <v>0</v>
      </c>
      <c r="S39" s="21">
        <f t="shared" si="27"/>
        <v>0</v>
      </c>
      <c r="T39" s="21">
        <f t="shared" si="28"/>
        <v>0</v>
      </c>
      <c r="U39" s="21">
        <f t="shared" si="29"/>
        <v>0</v>
      </c>
      <c r="V39" s="21">
        <f t="shared" si="30"/>
        <v>0</v>
      </c>
      <c r="W39" s="21">
        <f t="shared" si="31"/>
        <v>0</v>
      </c>
      <c r="X39" s="21">
        <f t="shared" si="32"/>
        <v>0</v>
      </c>
      <c r="Y39" s="21">
        <f t="shared" si="33"/>
        <v>3</v>
      </c>
    </row>
    <row r="40" spans="1:25" x14ac:dyDescent="0.25">
      <c r="A40" s="21" t="s">
        <v>340</v>
      </c>
      <c r="B40" s="21" t="s">
        <v>209</v>
      </c>
      <c r="C40" s="21" t="s">
        <v>274</v>
      </c>
      <c r="D40" s="21" t="s">
        <v>89</v>
      </c>
      <c r="E40" s="25">
        <v>46160</v>
      </c>
      <c r="F40" s="25">
        <v>46160</v>
      </c>
      <c r="G40" s="21">
        <v>1</v>
      </c>
      <c r="H40" s="21" t="s">
        <v>341</v>
      </c>
      <c r="I40" s="21" t="str">
        <f t="shared" si="17"/>
        <v>Commercial et service client</v>
      </c>
      <c r="J40" s="21" t="str">
        <f t="shared" si="18"/>
        <v>Goma</v>
      </c>
      <c r="K40" s="21">
        <f t="shared" si="19"/>
        <v>1</v>
      </c>
      <c r="L40" s="21">
        <f t="shared" si="20"/>
        <v>1</v>
      </c>
      <c r="M40" s="21">
        <f t="shared" si="21"/>
        <v>0</v>
      </c>
      <c r="N40" s="21">
        <f t="shared" si="22"/>
        <v>0</v>
      </c>
      <c r="O40" s="21">
        <f t="shared" si="23"/>
        <v>0</v>
      </c>
      <c r="P40" s="21">
        <f t="shared" si="24"/>
        <v>0</v>
      </c>
      <c r="Q40" s="21">
        <f t="shared" si="25"/>
        <v>1</v>
      </c>
      <c r="R40" s="21">
        <f t="shared" si="26"/>
        <v>0</v>
      </c>
      <c r="S40" s="21">
        <f t="shared" si="27"/>
        <v>0</v>
      </c>
      <c r="T40" s="21">
        <f t="shared" si="28"/>
        <v>0</v>
      </c>
      <c r="U40" s="21">
        <f t="shared" si="29"/>
        <v>0</v>
      </c>
      <c r="V40" s="21">
        <f t="shared" si="30"/>
        <v>0</v>
      </c>
      <c r="W40" s="21">
        <f t="shared" si="31"/>
        <v>0</v>
      </c>
      <c r="X40" s="21">
        <f t="shared" si="32"/>
        <v>0</v>
      </c>
      <c r="Y40" s="21">
        <f t="shared" si="33"/>
        <v>1</v>
      </c>
    </row>
    <row r="41" spans="1:25" x14ac:dyDescent="0.25">
      <c r="A41" s="21" t="s">
        <v>342</v>
      </c>
      <c r="B41" s="21" t="s">
        <v>180</v>
      </c>
      <c r="C41" s="21" t="s">
        <v>261</v>
      </c>
      <c r="D41" s="21" t="s">
        <v>87</v>
      </c>
      <c r="E41" s="25">
        <v>46162</v>
      </c>
      <c r="F41" s="25">
        <v>46170</v>
      </c>
      <c r="G41" s="21">
        <v>7</v>
      </c>
      <c r="H41" s="21" t="s">
        <v>304</v>
      </c>
      <c r="I41" s="21" t="str">
        <f t="shared" si="17"/>
        <v>Opérations techniques</v>
      </c>
      <c r="J41" s="21" t="str">
        <f t="shared" si="18"/>
        <v>Goma</v>
      </c>
      <c r="K41" s="21">
        <f t="shared" si="19"/>
        <v>1</v>
      </c>
      <c r="L41" s="21">
        <f t="shared" si="20"/>
        <v>1</v>
      </c>
      <c r="M41" s="21">
        <f t="shared" si="21"/>
        <v>0</v>
      </c>
      <c r="N41" s="21">
        <f t="shared" si="22"/>
        <v>0</v>
      </c>
      <c r="O41" s="21">
        <f t="shared" si="23"/>
        <v>0</v>
      </c>
      <c r="P41" s="21">
        <f t="shared" si="24"/>
        <v>0</v>
      </c>
      <c r="Q41" s="21">
        <f t="shared" si="25"/>
        <v>7</v>
      </c>
      <c r="R41" s="21">
        <f t="shared" si="26"/>
        <v>0</v>
      </c>
      <c r="S41" s="21">
        <f t="shared" si="27"/>
        <v>0</v>
      </c>
      <c r="T41" s="21">
        <f t="shared" si="28"/>
        <v>0</v>
      </c>
      <c r="U41" s="21">
        <f t="shared" si="29"/>
        <v>0</v>
      </c>
      <c r="V41" s="21">
        <f t="shared" si="30"/>
        <v>0</v>
      </c>
      <c r="W41" s="21">
        <f t="shared" si="31"/>
        <v>0</v>
      </c>
      <c r="X41" s="21">
        <f t="shared" si="32"/>
        <v>0</v>
      </c>
      <c r="Y41" s="21">
        <f t="shared" si="33"/>
        <v>7</v>
      </c>
    </row>
    <row r="42" spans="1:25" x14ac:dyDescent="0.25">
      <c r="A42" s="21" t="s">
        <v>343</v>
      </c>
      <c r="B42" s="21" t="s">
        <v>191</v>
      </c>
      <c r="C42" s="21" t="s">
        <v>267</v>
      </c>
      <c r="D42" s="21" t="s">
        <v>90</v>
      </c>
      <c r="E42" s="25">
        <v>46164</v>
      </c>
      <c r="F42" s="25">
        <v>46168</v>
      </c>
      <c r="G42" s="21">
        <v>3</v>
      </c>
      <c r="H42" s="21" t="s">
        <v>304</v>
      </c>
      <c r="I42" s="21" t="str">
        <f t="shared" si="17"/>
        <v>Opérations techniques</v>
      </c>
      <c r="J42" s="21" t="str">
        <f t="shared" si="18"/>
        <v>Goma</v>
      </c>
      <c r="K42" s="21">
        <f t="shared" si="19"/>
        <v>1</v>
      </c>
      <c r="L42" s="21">
        <f t="shared" si="20"/>
        <v>1</v>
      </c>
      <c r="M42" s="21">
        <f t="shared" si="21"/>
        <v>0</v>
      </c>
      <c r="N42" s="21">
        <f t="shared" si="22"/>
        <v>0</v>
      </c>
      <c r="O42" s="21">
        <f t="shared" si="23"/>
        <v>0</v>
      </c>
      <c r="P42" s="21">
        <f t="shared" si="24"/>
        <v>0</v>
      </c>
      <c r="Q42" s="21">
        <f t="shared" si="25"/>
        <v>3</v>
      </c>
      <c r="R42" s="21">
        <f t="shared" si="26"/>
        <v>0</v>
      </c>
      <c r="S42" s="21">
        <f t="shared" si="27"/>
        <v>0</v>
      </c>
      <c r="T42" s="21">
        <f t="shared" si="28"/>
        <v>0</v>
      </c>
      <c r="U42" s="21">
        <f t="shared" si="29"/>
        <v>0</v>
      </c>
      <c r="V42" s="21">
        <f t="shared" si="30"/>
        <v>0</v>
      </c>
      <c r="W42" s="21">
        <f t="shared" si="31"/>
        <v>0</v>
      </c>
      <c r="X42" s="21">
        <f t="shared" si="32"/>
        <v>0</v>
      </c>
      <c r="Y42" s="21">
        <f t="shared" si="33"/>
        <v>3</v>
      </c>
    </row>
    <row r="43" spans="1:25" x14ac:dyDescent="0.25">
      <c r="A43" s="21" t="s">
        <v>344</v>
      </c>
      <c r="B43" s="21" t="s">
        <v>182</v>
      </c>
      <c r="C43" s="21" t="s">
        <v>263</v>
      </c>
      <c r="D43" s="21" t="s">
        <v>90</v>
      </c>
      <c r="E43" s="25">
        <v>46170</v>
      </c>
      <c r="F43" s="25">
        <v>46175</v>
      </c>
      <c r="G43" s="21">
        <v>4</v>
      </c>
      <c r="H43" s="21" t="s">
        <v>304</v>
      </c>
      <c r="I43" s="21" t="str">
        <f t="shared" si="17"/>
        <v>Opérations techniques</v>
      </c>
      <c r="J43" s="21" t="str">
        <f t="shared" si="18"/>
        <v>Goma</v>
      </c>
      <c r="K43" s="21">
        <f t="shared" si="19"/>
        <v>1</v>
      </c>
      <c r="L43" s="21">
        <f t="shared" si="20"/>
        <v>1</v>
      </c>
      <c r="M43" s="21">
        <f t="shared" si="21"/>
        <v>0</v>
      </c>
      <c r="N43" s="21">
        <f t="shared" si="22"/>
        <v>0</v>
      </c>
      <c r="O43" s="21">
        <f t="shared" si="23"/>
        <v>0</v>
      </c>
      <c r="P43" s="21">
        <f t="shared" si="24"/>
        <v>0</v>
      </c>
      <c r="Q43" s="21">
        <f t="shared" si="25"/>
        <v>2</v>
      </c>
      <c r="R43" s="21">
        <f t="shared" si="26"/>
        <v>2</v>
      </c>
      <c r="S43" s="21">
        <f t="shared" si="27"/>
        <v>0</v>
      </c>
      <c r="T43" s="21">
        <f t="shared" si="28"/>
        <v>0</v>
      </c>
      <c r="U43" s="21">
        <f t="shared" si="29"/>
        <v>0</v>
      </c>
      <c r="V43" s="21">
        <f t="shared" si="30"/>
        <v>0</v>
      </c>
      <c r="W43" s="21">
        <f t="shared" si="31"/>
        <v>0</v>
      </c>
      <c r="X43" s="21">
        <f t="shared" si="32"/>
        <v>0</v>
      </c>
      <c r="Y43" s="21">
        <f t="shared" si="33"/>
        <v>4</v>
      </c>
    </row>
    <row r="44" spans="1:25" x14ac:dyDescent="0.25">
      <c r="A44" s="21" t="s">
        <v>345</v>
      </c>
      <c r="B44" s="21" t="s">
        <v>149</v>
      </c>
      <c r="C44" s="21" t="s">
        <v>242</v>
      </c>
      <c r="D44" s="21" t="s">
        <v>90</v>
      </c>
      <c r="E44" s="25">
        <v>46171</v>
      </c>
      <c r="F44" s="25">
        <v>46171</v>
      </c>
      <c r="G44" s="21">
        <v>1</v>
      </c>
      <c r="H44" s="21" t="s">
        <v>304</v>
      </c>
      <c r="I44" s="21" t="str">
        <f t="shared" si="17"/>
        <v>Ressources humaines</v>
      </c>
      <c r="J44" s="21" t="str">
        <f t="shared" si="18"/>
        <v>Goma</v>
      </c>
      <c r="K44" s="21">
        <f t="shared" si="19"/>
        <v>1</v>
      </c>
      <c r="L44" s="21">
        <f t="shared" si="20"/>
        <v>1</v>
      </c>
      <c r="M44" s="21">
        <f t="shared" si="21"/>
        <v>0</v>
      </c>
      <c r="N44" s="21">
        <f t="shared" si="22"/>
        <v>0</v>
      </c>
      <c r="O44" s="21">
        <f t="shared" si="23"/>
        <v>0</v>
      </c>
      <c r="P44" s="21">
        <f t="shared" si="24"/>
        <v>0</v>
      </c>
      <c r="Q44" s="21">
        <f t="shared" si="25"/>
        <v>1</v>
      </c>
      <c r="R44" s="21">
        <f t="shared" si="26"/>
        <v>0</v>
      </c>
      <c r="S44" s="21">
        <f t="shared" si="27"/>
        <v>0</v>
      </c>
      <c r="T44" s="21">
        <f t="shared" si="28"/>
        <v>0</v>
      </c>
      <c r="U44" s="21">
        <f t="shared" si="29"/>
        <v>0</v>
      </c>
      <c r="V44" s="21">
        <f t="shared" si="30"/>
        <v>0</v>
      </c>
      <c r="W44" s="21">
        <f t="shared" si="31"/>
        <v>0</v>
      </c>
      <c r="X44" s="21">
        <f t="shared" si="32"/>
        <v>0</v>
      </c>
      <c r="Y44" s="21">
        <f t="shared" si="33"/>
        <v>1</v>
      </c>
    </row>
    <row r="45" spans="1:25" x14ac:dyDescent="0.25">
      <c r="A45" s="21" t="s">
        <v>346</v>
      </c>
      <c r="B45" s="21" t="s">
        <v>204</v>
      </c>
      <c r="C45" s="21" t="s">
        <v>271</v>
      </c>
      <c r="D45" s="21" t="s">
        <v>87</v>
      </c>
      <c r="E45" s="25">
        <v>46178</v>
      </c>
      <c r="F45" s="25">
        <v>46191</v>
      </c>
      <c r="G45" s="21">
        <v>10</v>
      </c>
      <c r="H45" s="21" t="s">
        <v>304</v>
      </c>
      <c r="I45" s="21" t="str">
        <f t="shared" si="17"/>
        <v>Opérations techniques</v>
      </c>
      <c r="J45" s="21" t="str">
        <f t="shared" si="18"/>
        <v>Beni</v>
      </c>
      <c r="K45" s="21">
        <f t="shared" si="19"/>
        <v>1</v>
      </c>
      <c r="L45" s="21">
        <f t="shared" si="20"/>
        <v>1</v>
      </c>
      <c r="M45" s="21">
        <f t="shared" si="21"/>
        <v>0</v>
      </c>
      <c r="N45" s="21">
        <f t="shared" si="22"/>
        <v>0</v>
      </c>
      <c r="O45" s="21">
        <f t="shared" si="23"/>
        <v>0</v>
      </c>
      <c r="P45" s="21">
        <f t="shared" si="24"/>
        <v>0</v>
      </c>
      <c r="Q45" s="21">
        <f t="shared" si="25"/>
        <v>0</v>
      </c>
      <c r="R45" s="21">
        <f t="shared" si="26"/>
        <v>10</v>
      </c>
      <c r="S45" s="21">
        <f t="shared" si="27"/>
        <v>0</v>
      </c>
      <c r="T45" s="21">
        <f t="shared" si="28"/>
        <v>0</v>
      </c>
      <c r="U45" s="21">
        <f t="shared" si="29"/>
        <v>0</v>
      </c>
      <c r="V45" s="21">
        <f t="shared" si="30"/>
        <v>0</v>
      </c>
      <c r="W45" s="21">
        <f t="shared" si="31"/>
        <v>0</v>
      </c>
      <c r="X45" s="21">
        <f t="shared" si="32"/>
        <v>0</v>
      </c>
      <c r="Y45" s="21">
        <f t="shared" si="33"/>
        <v>10</v>
      </c>
    </row>
    <row r="46" spans="1:25" x14ac:dyDescent="0.25">
      <c r="A46" s="21" t="s">
        <v>347</v>
      </c>
      <c r="B46" s="21" t="s">
        <v>157</v>
      </c>
      <c r="C46" s="21" t="s">
        <v>248</v>
      </c>
      <c r="D46" s="21" t="s">
        <v>90</v>
      </c>
      <c r="E46" s="25">
        <v>46183</v>
      </c>
      <c r="F46" s="25">
        <v>46184</v>
      </c>
      <c r="G46" s="21">
        <v>2</v>
      </c>
      <c r="H46" s="21" t="s">
        <v>304</v>
      </c>
      <c r="I46" s="21" t="str">
        <f t="shared" si="17"/>
        <v>Finance</v>
      </c>
      <c r="J46" s="21" t="str">
        <f t="shared" si="18"/>
        <v>Goma</v>
      </c>
      <c r="K46" s="21">
        <f t="shared" si="19"/>
        <v>1</v>
      </c>
      <c r="L46" s="21">
        <f t="shared" si="20"/>
        <v>1</v>
      </c>
      <c r="M46" s="21">
        <f t="shared" si="21"/>
        <v>0</v>
      </c>
      <c r="N46" s="21">
        <f t="shared" si="22"/>
        <v>0</v>
      </c>
      <c r="O46" s="21">
        <f t="shared" si="23"/>
        <v>0</v>
      </c>
      <c r="P46" s="21">
        <f t="shared" si="24"/>
        <v>0</v>
      </c>
      <c r="Q46" s="21">
        <f t="shared" si="25"/>
        <v>0</v>
      </c>
      <c r="R46" s="21">
        <f t="shared" si="26"/>
        <v>2</v>
      </c>
      <c r="S46" s="21">
        <f t="shared" si="27"/>
        <v>0</v>
      </c>
      <c r="T46" s="21">
        <f t="shared" si="28"/>
        <v>0</v>
      </c>
      <c r="U46" s="21">
        <f t="shared" si="29"/>
        <v>0</v>
      </c>
      <c r="V46" s="21">
        <f t="shared" si="30"/>
        <v>0</v>
      </c>
      <c r="W46" s="21">
        <f t="shared" si="31"/>
        <v>0</v>
      </c>
      <c r="X46" s="21">
        <f t="shared" si="32"/>
        <v>0</v>
      </c>
      <c r="Y46" s="21">
        <f t="shared" si="33"/>
        <v>2</v>
      </c>
    </row>
    <row r="47" spans="1:25" x14ac:dyDescent="0.25">
      <c r="A47" s="21" t="s">
        <v>348</v>
      </c>
      <c r="B47" s="21" t="s">
        <v>195</v>
      </c>
      <c r="C47" s="21" t="s">
        <v>268</v>
      </c>
      <c r="D47" s="21" t="s">
        <v>87</v>
      </c>
      <c r="E47" s="25">
        <v>46184</v>
      </c>
      <c r="F47" s="25">
        <v>46191</v>
      </c>
      <c r="G47" s="21">
        <v>6</v>
      </c>
      <c r="H47" s="21" t="s">
        <v>304</v>
      </c>
      <c r="I47" s="21" t="str">
        <f t="shared" si="17"/>
        <v>Opérations techniques</v>
      </c>
      <c r="J47" s="21" t="str">
        <f t="shared" si="18"/>
        <v>Beni</v>
      </c>
      <c r="K47" s="21">
        <f t="shared" si="19"/>
        <v>1</v>
      </c>
      <c r="L47" s="21">
        <f t="shared" si="20"/>
        <v>1</v>
      </c>
      <c r="M47" s="21">
        <f t="shared" si="21"/>
        <v>0</v>
      </c>
      <c r="N47" s="21">
        <f t="shared" si="22"/>
        <v>0</v>
      </c>
      <c r="O47" s="21">
        <f t="shared" si="23"/>
        <v>0</v>
      </c>
      <c r="P47" s="21">
        <f t="shared" si="24"/>
        <v>0</v>
      </c>
      <c r="Q47" s="21">
        <f t="shared" si="25"/>
        <v>0</v>
      </c>
      <c r="R47" s="21">
        <f t="shared" si="26"/>
        <v>6</v>
      </c>
      <c r="S47" s="21">
        <f t="shared" si="27"/>
        <v>0</v>
      </c>
      <c r="T47" s="21">
        <f t="shared" si="28"/>
        <v>0</v>
      </c>
      <c r="U47" s="21">
        <f t="shared" si="29"/>
        <v>0</v>
      </c>
      <c r="V47" s="21">
        <f t="shared" si="30"/>
        <v>0</v>
      </c>
      <c r="W47" s="21">
        <f t="shared" si="31"/>
        <v>0</v>
      </c>
      <c r="X47" s="21">
        <f t="shared" si="32"/>
        <v>0</v>
      </c>
      <c r="Y47" s="21">
        <f t="shared" si="33"/>
        <v>6</v>
      </c>
    </row>
    <row r="48" spans="1:25" x14ac:dyDescent="0.25">
      <c r="A48" s="21" t="s">
        <v>349</v>
      </c>
      <c r="B48" s="21" t="s">
        <v>201</v>
      </c>
      <c r="C48" s="21" t="s">
        <v>270</v>
      </c>
      <c r="D48" s="21" t="s">
        <v>90</v>
      </c>
      <c r="E48" s="25">
        <v>46184</v>
      </c>
      <c r="F48" s="25">
        <v>46188</v>
      </c>
      <c r="G48" s="21">
        <v>3</v>
      </c>
      <c r="H48" s="21" t="s">
        <v>304</v>
      </c>
      <c r="I48" s="21" t="str">
        <f t="shared" si="17"/>
        <v>Opérations techniques</v>
      </c>
      <c r="J48" s="21" t="str">
        <f t="shared" si="18"/>
        <v>Goma</v>
      </c>
      <c r="K48" s="21">
        <f t="shared" si="19"/>
        <v>1</v>
      </c>
      <c r="L48" s="21">
        <f t="shared" si="20"/>
        <v>1</v>
      </c>
      <c r="M48" s="21">
        <f t="shared" si="21"/>
        <v>0</v>
      </c>
      <c r="N48" s="21">
        <f t="shared" si="22"/>
        <v>0</v>
      </c>
      <c r="O48" s="21">
        <f t="shared" si="23"/>
        <v>0</v>
      </c>
      <c r="P48" s="21">
        <f t="shared" si="24"/>
        <v>0</v>
      </c>
      <c r="Q48" s="21">
        <f t="shared" si="25"/>
        <v>0</v>
      </c>
      <c r="R48" s="21">
        <f t="shared" si="26"/>
        <v>3</v>
      </c>
      <c r="S48" s="21">
        <f t="shared" si="27"/>
        <v>0</v>
      </c>
      <c r="T48" s="21">
        <f t="shared" si="28"/>
        <v>0</v>
      </c>
      <c r="U48" s="21">
        <f t="shared" si="29"/>
        <v>0</v>
      </c>
      <c r="V48" s="21">
        <f t="shared" si="30"/>
        <v>0</v>
      </c>
      <c r="W48" s="21">
        <f t="shared" si="31"/>
        <v>0</v>
      </c>
      <c r="X48" s="21">
        <f t="shared" si="32"/>
        <v>0</v>
      </c>
      <c r="Y48" s="21">
        <f t="shared" si="33"/>
        <v>3</v>
      </c>
    </row>
    <row r="49" spans="1:25" x14ac:dyDescent="0.25">
      <c r="A49" s="21" t="s">
        <v>350</v>
      </c>
      <c r="B49" s="21" t="s">
        <v>226</v>
      </c>
      <c r="C49" s="21" t="s">
        <v>283</v>
      </c>
      <c r="D49" s="21" t="s">
        <v>87</v>
      </c>
      <c r="E49" s="25">
        <v>46184</v>
      </c>
      <c r="F49" s="25">
        <v>46198</v>
      </c>
      <c r="G49" s="21">
        <v>11</v>
      </c>
      <c r="H49" s="21" t="s">
        <v>304</v>
      </c>
      <c r="I49" s="21" t="str">
        <f t="shared" si="17"/>
        <v>Services généraux</v>
      </c>
      <c r="J49" s="21" t="str">
        <f t="shared" si="18"/>
        <v>Goma</v>
      </c>
      <c r="K49" s="21">
        <f t="shared" si="19"/>
        <v>1</v>
      </c>
      <c r="L49" s="21">
        <f t="shared" si="20"/>
        <v>1</v>
      </c>
      <c r="M49" s="21">
        <f t="shared" si="21"/>
        <v>0</v>
      </c>
      <c r="N49" s="21">
        <f t="shared" si="22"/>
        <v>0</v>
      </c>
      <c r="O49" s="21">
        <f t="shared" si="23"/>
        <v>0</v>
      </c>
      <c r="P49" s="21">
        <f t="shared" si="24"/>
        <v>0</v>
      </c>
      <c r="Q49" s="21">
        <f t="shared" si="25"/>
        <v>0</v>
      </c>
      <c r="R49" s="21">
        <f t="shared" si="26"/>
        <v>11</v>
      </c>
      <c r="S49" s="21">
        <f t="shared" si="27"/>
        <v>0</v>
      </c>
      <c r="T49" s="21">
        <f t="shared" si="28"/>
        <v>0</v>
      </c>
      <c r="U49" s="21">
        <f t="shared" si="29"/>
        <v>0</v>
      </c>
      <c r="V49" s="21">
        <f t="shared" si="30"/>
        <v>0</v>
      </c>
      <c r="W49" s="21">
        <f t="shared" si="31"/>
        <v>0</v>
      </c>
      <c r="X49" s="21">
        <f t="shared" si="32"/>
        <v>0</v>
      </c>
      <c r="Y49" s="21">
        <f t="shared" si="33"/>
        <v>11</v>
      </c>
    </row>
    <row r="50" spans="1:25" x14ac:dyDescent="0.25">
      <c r="A50" s="21" t="s">
        <v>351</v>
      </c>
      <c r="B50" s="21" t="s">
        <v>165</v>
      </c>
      <c r="C50" s="21" t="s">
        <v>253</v>
      </c>
      <c r="D50" s="21" t="s">
        <v>88</v>
      </c>
      <c r="E50" s="25">
        <v>46190</v>
      </c>
      <c r="F50" s="25">
        <v>46192</v>
      </c>
      <c r="G50" s="21">
        <v>3</v>
      </c>
      <c r="H50" s="21" t="s">
        <v>304</v>
      </c>
      <c r="I50" s="21" t="str">
        <f t="shared" si="17"/>
        <v>Logistique</v>
      </c>
      <c r="J50" s="21" t="str">
        <f t="shared" si="18"/>
        <v>Goma</v>
      </c>
      <c r="K50" s="21">
        <f t="shared" si="19"/>
        <v>1</v>
      </c>
      <c r="L50" s="21">
        <f t="shared" si="20"/>
        <v>1</v>
      </c>
      <c r="M50" s="21">
        <f t="shared" si="21"/>
        <v>0</v>
      </c>
      <c r="N50" s="21">
        <f t="shared" si="22"/>
        <v>0</v>
      </c>
      <c r="O50" s="21">
        <f t="shared" si="23"/>
        <v>0</v>
      </c>
      <c r="P50" s="21">
        <f t="shared" si="24"/>
        <v>0</v>
      </c>
      <c r="Q50" s="21">
        <f t="shared" si="25"/>
        <v>0</v>
      </c>
      <c r="R50" s="21">
        <f t="shared" si="26"/>
        <v>3</v>
      </c>
      <c r="S50" s="21">
        <f t="shared" si="27"/>
        <v>0</v>
      </c>
      <c r="T50" s="21">
        <f t="shared" si="28"/>
        <v>0</v>
      </c>
      <c r="U50" s="21">
        <f t="shared" si="29"/>
        <v>0</v>
      </c>
      <c r="V50" s="21">
        <f t="shared" si="30"/>
        <v>0</v>
      </c>
      <c r="W50" s="21">
        <f t="shared" si="31"/>
        <v>0</v>
      </c>
      <c r="X50" s="21">
        <f t="shared" si="32"/>
        <v>0</v>
      </c>
      <c r="Y50" s="21">
        <f t="shared" si="33"/>
        <v>3</v>
      </c>
    </row>
    <row r="51" spans="1:25" x14ac:dyDescent="0.25">
      <c r="A51" s="21" t="s">
        <v>352</v>
      </c>
      <c r="B51" s="21" t="s">
        <v>216</v>
      </c>
      <c r="C51" s="21" t="s">
        <v>277</v>
      </c>
      <c r="D51" s="21" t="s">
        <v>90</v>
      </c>
      <c r="E51" s="25">
        <v>46191</v>
      </c>
      <c r="F51" s="25">
        <v>46195</v>
      </c>
      <c r="G51" s="21">
        <v>3</v>
      </c>
      <c r="H51" s="21" t="s">
        <v>304</v>
      </c>
      <c r="I51" s="21" t="str">
        <f t="shared" si="17"/>
        <v>Commercial et service client</v>
      </c>
      <c r="J51" s="21" t="str">
        <f t="shared" si="18"/>
        <v>Beni</v>
      </c>
      <c r="K51" s="21">
        <f t="shared" si="19"/>
        <v>1</v>
      </c>
      <c r="L51" s="21">
        <f t="shared" si="20"/>
        <v>1</v>
      </c>
      <c r="M51" s="21">
        <f t="shared" si="21"/>
        <v>0</v>
      </c>
      <c r="N51" s="21">
        <f t="shared" si="22"/>
        <v>0</v>
      </c>
      <c r="O51" s="21">
        <f t="shared" si="23"/>
        <v>0</v>
      </c>
      <c r="P51" s="21">
        <f t="shared" si="24"/>
        <v>0</v>
      </c>
      <c r="Q51" s="21">
        <f t="shared" si="25"/>
        <v>0</v>
      </c>
      <c r="R51" s="21">
        <f t="shared" si="26"/>
        <v>3</v>
      </c>
      <c r="S51" s="21">
        <f t="shared" si="27"/>
        <v>0</v>
      </c>
      <c r="T51" s="21">
        <f t="shared" si="28"/>
        <v>0</v>
      </c>
      <c r="U51" s="21">
        <f t="shared" si="29"/>
        <v>0</v>
      </c>
      <c r="V51" s="21">
        <f t="shared" si="30"/>
        <v>0</v>
      </c>
      <c r="W51" s="21">
        <f t="shared" si="31"/>
        <v>0</v>
      </c>
      <c r="X51" s="21">
        <f t="shared" si="32"/>
        <v>0</v>
      </c>
      <c r="Y51" s="21">
        <f t="shared" si="33"/>
        <v>3</v>
      </c>
    </row>
    <row r="52" spans="1:25" x14ac:dyDescent="0.25">
      <c r="A52" s="21" t="s">
        <v>353</v>
      </c>
      <c r="B52" s="21" t="s">
        <v>187</v>
      </c>
      <c r="C52" s="21" t="s">
        <v>266</v>
      </c>
      <c r="D52" s="21" t="s">
        <v>87</v>
      </c>
      <c r="E52" s="25">
        <v>46192</v>
      </c>
      <c r="F52" s="25">
        <v>46209</v>
      </c>
      <c r="G52" s="21">
        <v>12</v>
      </c>
      <c r="H52" s="21" t="s">
        <v>354</v>
      </c>
      <c r="I52" s="21" t="str">
        <f t="shared" si="17"/>
        <v>Opérations techniques</v>
      </c>
      <c r="J52" s="21" t="str">
        <f t="shared" si="18"/>
        <v>Goma</v>
      </c>
      <c r="K52" s="21">
        <f t="shared" si="19"/>
        <v>1</v>
      </c>
      <c r="L52" s="21">
        <f t="shared" si="20"/>
        <v>0</v>
      </c>
      <c r="M52" s="21">
        <f t="shared" si="21"/>
        <v>0</v>
      </c>
      <c r="N52" s="21">
        <f t="shared" si="22"/>
        <v>0</v>
      </c>
      <c r="O52" s="21">
        <f t="shared" si="23"/>
        <v>0</v>
      </c>
      <c r="P52" s="21">
        <f t="shared" si="24"/>
        <v>0</v>
      </c>
      <c r="Q52" s="21">
        <f t="shared" si="25"/>
        <v>0</v>
      </c>
      <c r="R52" s="21">
        <f t="shared" si="26"/>
        <v>0</v>
      </c>
      <c r="S52" s="21">
        <f t="shared" si="27"/>
        <v>0</v>
      </c>
      <c r="T52" s="21">
        <f t="shared" si="28"/>
        <v>0</v>
      </c>
      <c r="U52" s="21">
        <f t="shared" si="29"/>
        <v>0</v>
      </c>
      <c r="V52" s="21">
        <f t="shared" si="30"/>
        <v>0</v>
      </c>
      <c r="W52" s="21">
        <f t="shared" si="31"/>
        <v>0</v>
      </c>
      <c r="X52" s="21">
        <f t="shared" si="32"/>
        <v>0</v>
      </c>
      <c r="Y52" s="21">
        <f t="shared" si="33"/>
        <v>0</v>
      </c>
    </row>
    <row r="53" spans="1:25" x14ac:dyDescent="0.25">
      <c r="A53" s="21" t="s">
        <v>355</v>
      </c>
      <c r="B53" s="21" t="s">
        <v>209</v>
      </c>
      <c r="C53" s="21" t="s">
        <v>274</v>
      </c>
      <c r="D53" s="21" t="s">
        <v>87</v>
      </c>
      <c r="E53" s="25">
        <v>46192</v>
      </c>
      <c r="F53" s="25">
        <v>46204</v>
      </c>
      <c r="G53" s="21">
        <v>9</v>
      </c>
      <c r="H53" s="21" t="s">
        <v>304</v>
      </c>
      <c r="I53" s="21" t="str">
        <f t="shared" si="17"/>
        <v>Commercial et service client</v>
      </c>
      <c r="J53" s="21" t="str">
        <f t="shared" si="18"/>
        <v>Goma</v>
      </c>
      <c r="K53" s="21">
        <f t="shared" si="19"/>
        <v>1</v>
      </c>
      <c r="L53" s="21">
        <f t="shared" si="20"/>
        <v>1</v>
      </c>
      <c r="M53" s="21">
        <f t="shared" si="21"/>
        <v>0</v>
      </c>
      <c r="N53" s="21">
        <f t="shared" si="22"/>
        <v>0</v>
      </c>
      <c r="O53" s="21">
        <f t="shared" si="23"/>
        <v>0</v>
      </c>
      <c r="P53" s="21">
        <f t="shared" si="24"/>
        <v>0</v>
      </c>
      <c r="Q53" s="21">
        <f t="shared" si="25"/>
        <v>0</v>
      </c>
      <c r="R53" s="21">
        <f t="shared" si="26"/>
        <v>8</v>
      </c>
      <c r="S53" s="21">
        <f t="shared" si="27"/>
        <v>1</v>
      </c>
      <c r="T53" s="21">
        <f t="shared" si="28"/>
        <v>0</v>
      </c>
      <c r="U53" s="21">
        <f t="shared" si="29"/>
        <v>0</v>
      </c>
      <c r="V53" s="21">
        <f t="shared" si="30"/>
        <v>0</v>
      </c>
      <c r="W53" s="21">
        <f t="shared" si="31"/>
        <v>0</v>
      </c>
      <c r="X53" s="21">
        <f t="shared" si="32"/>
        <v>0</v>
      </c>
      <c r="Y53" s="21">
        <f t="shared" si="33"/>
        <v>9</v>
      </c>
    </row>
    <row r="54" spans="1:25" x14ac:dyDescent="0.25">
      <c r="A54" s="21" t="s">
        <v>356</v>
      </c>
      <c r="B54" s="21" t="s">
        <v>165</v>
      </c>
      <c r="C54" s="21" t="s">
        <v>253</v>
      </c>
      <c r="D54" s="21" t="s">
        <v>87</v>
      </c>
      <c r="E54" s="25">
        <v>46203</v>
      </c>
      <c r="F54" s="25">
        <v>46216</v>
      </c>
      <c r="G54" s="21">
        <v>10</v>
      </c>
      <c r="H54" s="21" t="s">
        <v>304</v>
      </c>
      <c r="I54" s="21" t="str">
        <f t="shared" si="17"/>
        <v>Logistique</v>
      </c>
      <c r="J54" s="21" t="str">
        <f t="shared" si="18"/>
        <v>Goma</v>
      </c>
      <c r="K54" s="21">
        <f t="shared" si="19"/>
        <v>1</v>
      </c>
      <c r="L54" s="21">
        <f t="shared" si="20"/>
        <v>1</v>
      </c>
      <c r="M54" s="21">
        <f t="shared" si="21"/>
        <v>0</v>
      </c>
      <c r="N54" s="21">
        <f t="shared" si="22"/>
        <v>0</v>
      </c>
      <c r="O54" s="21">
        <f t="shared" si="23"/>
        <v>0</v>
      </c>
      <c r="P54" s="21">
        <f t="shared" si="24"/>
        <v>0</v>
      </c>
      <c r="Q54" s="21">
        <f t="shared" si="25"/>
        <v>0</v>
      </c>
      <c r="R54" s="21">
        <f t="shared" si="26"/>
        <v>1</v>
      </c>
      <c r="S54" s="21">
        <f t="shared" si="27"/>
        <v>9</v>
      </c>
      <c r="T54" s="21">
        <f t="shared" si="28"/>
        <v>0</v>
      </c>
      <c r="U54" s="21">
        <f t="shared" si="29"/>
        <v>0</v>
      </c>
      <c r="V54" s="21">
        <f t="shared" si="30"/>
        <v>0</v>
      </c>
      <c r="W54" s="21">
        <f t="shared" si="31"/>
        <v>0</v>
      </c>
      <c r="X54" s="21">
        <f t="shared" si="32"/>
        <v>0</v>
      </c>
      <c r="Y54" s="21">
        <f t="shared" si="33"/>
        <v>10</v>
      </c>
    </row>
    <row r="55" spans="1:25" x14ac:dyDescent="0.25">
      <c r="A55" s="21" t="s">
        <v>357</v>
      </c>
      <c r="B55" s="21" t="s">
        <v>157</v>
      </c>
      <c r="C55" s="21" t="s">
        <v>248</v>
      </c>
      <c r="D55" s="21" t="s">
        <v>90</v>
      </c>
      <c r="E55" s="25">
        <v>46205</v>
      </c>
      <c r="F55" s="25">
        <v>46209</v>
      </c>
      <c r="G55" s="21">
        <v>3</v>
      </c>
      <c r="H55" s="21" t="s">
        <v>304</v>
      </c>
      <c r="I55" s="21" t="str">
        <f t="shared" si="17"/>
        <v>Finance</v>
      </c>
      <c r="J55" s="21" t="str">
        <f t="shared" si="18"/>
        <v>Goma</v>
      </c>
      <c r="K55" s="21">
        <f t="shared" si="19"/>
        <v>1</v>
      </c>
      <c r="L55" s="21">
        <f t="shared" si="20"/>
        <v>1</v>
      </c>
      <c r="M55" s="21">
        <f t="shared" si="21"/>
        <v>0</v>
      </c>
      <c r="N55" s="21">
        <f t="shared" si="22"/>
        <v>0</v>
      </c>
      <c r="O55" s="21">
        <f t="shared" si="23"/>
        <v>0</v>
      </c>
      <c r="P55" s="21">
        <f t="shared" si="24"/>
        <v>0</v>
      </c>
      <c r="Q55" s="21">
        <f t="shared" si="25"/>
        <v>0</v>
      </c>
      <c r="R55" s="21">
        <f t="shared" si="26"/>
        <v>0</v>
      </c>
      <c r="S55" s="21">
        <f t="shared" si="27"/>
        <v>3</v>
      </c>
      <c r="T55" s="21">
        <f t="shared" si="28"/>
        <v>0</v>
      </c>
      <c r="U55" s="21">
        <f t="shared" si="29"/>
        <v>0</v>
      </c>
      <c r="V55" s="21">
        <f t="shared" si="30"/>
        <v>0</v>
      </c>
      <c r="W55" s="21">
        <f t="shared" si="31"/>
        <v>0</v>
      </c>
      <c r="X55" s="21">
        <f t="shared" si="32"/>
        <v>0</v>
      </c>
      <c r="Y55" s="21">
        <f t="shared" si="33"/>
        <v>3</v>
      </c>
    </row>
    <row r="56" spans="1:25" x14ac:dyDescent="0.25">
      <c r="A56" s="21" t="s">
        <v>358</v>
      </c>
      <c r="B56" s="21" t="s">
        <v>191</v>
      </c>
      <c r="C56" s="21" t="s">
        <v>267</v>
      </c>
      <c r="D56" s="21" t="s">
        <v>87</v>
      </c>
      <c r="E56" s="25">
        <v>46205</v>
      </c>
      <c r="F56" s="25">
        <v>46219</v>
      </c>
      <c r="G56" s="21">
        <v>11</v>
      </c>
      <c r="H56" s="21" t="s">
        <v>304</v>
      </c>
      <c r="I56" s="21" t="str">
        <f t="shared" si="17"/>
        <v>Opérations techniques</v>
      </c>
      <c r="J56" s="21" t="str">
        <f t="shared" si="18"/>
        <v>Goma</v>
      </c>
      <c r="K56" s="21">
        <f t="shared" si="19"/>
        <v>1</v>
      </c>
      <c r="L56" s="21">
        <f t="shared" si="20"/>
        <v>1</v>
      </c>
      <c r="M56" s="21">
        <f t="shared" si="21"/>
        <v>0</v>
      </c>
      <c r="N56" s="21">
        <f t="shared" si="22"/>
        <v>0</v>
      </c>
      <c r="O56" s="21">
        <f t="shared" si="23"/>
        <v>0</v>
      </c>
      <c r="P56" s="21">
        <f t="shared" si="24"/>
        <v>0</v>
      </c>
      <c r="Q56" s="21">
        <f t="shared" si="25"/>
        <v>0</v>
      </c>
      <c r="R56" s="21">
        <f t="shared" si="26"/>
        <v>0</v>
      </c>
      <c r="S56" s="21">
        <f t="shared" si="27"/>
        <v>11</v>
      </c>
      <c r="T56" s="21">
        <f t="shared" si="28"/>
        <v>0</v>
      </c>
      <c r="U56" s="21">
        <f t="shared" si="29"/>
        <v>0</v>
      </c>
      <c r="V56" s="21">
        <f t="shared" si="30"/>
        <v>0</v>
      </c>
      <c r="W56" s="21">
        <f t="shared" si="31"/>
        <v>0</v>
      </c>
      <c r="X56" s="21">
        <f t="shared" si="32"/>
        <v>0</v>
      </c>
      <c r="Y56" s="21">
        <f t="shared" si="33"/>
        <v>11</v>
      </c>
    </row>
    <row r="57" spans="1:25" x14ac:dyDescent="0.25">
      <c r="A57" s="21" t="s">
        <v>359</v>
      </c>
      <c r="B57" s="21" t="s">
        <v>207</v>
      </c>
      <c r="C57" s="21" t="s">
        <v>272</v>
      </c>
      <c r="D57" s="21" t="s">
        <v>90</v>
      </c>
      <c r="E57" s="25">
        <v>46205</v>
      </c>
      <c r="F57" s="25">
        <v>46209</v>
      </c>
      <c r="G57" s="21">
        <v>3</v>
      </c>
      <c r="H57" s="21" t="s">
        <v>304</v>
      </c>
      <c r="I57" s="21" t="str">
        <f t="shared" si="17"/>
        <v>Commercial et service client</v>
      </c>
      <c r="J57" s="21" t="str">
        <f t="shared" si="18"/>
        <v>Goma</v>
      </c>
      <c r="K57" s="21">
        <f t="shared" si="19"/>
        <v>1</v>
      </c>
      <c r="L57" s="21">
        <f t="shared" si="20"/>
        <v>1</v>
      </c>
      <c r="M57" s="21">
        <f t="shared" si="21"/>
        <v>0</v>
      </c>
      <c r="N57" s="21">
        <f t="shared" si="22"/>
        <v>0</v>
      </c>
      <c r="O57" s="21">
        <f t="shared" si="23"/>
        <v>0</v>
      </c>
      <c r="P57" s="21">
        <f t="shared" si="24"/>
        <v>0</v>
      </c>
      <c r="Q57" s="21">
        <f t="shared" si="25"/>
        <v>0</v>
      </c>
      <c r="R57" s="21">
        <f t="shared" si="26"/>
        <v>0</v>
      </c>
      <c r="S57" s="21">
        <f t="shared" si="27"/>
        <v>3</v>
      </c>
      <c r="T57" s="21">
        <f t="shared" si="28"/>
        <v>0</v>
      </c>
      <c r="U57" s="21">
        <f t="shared" si="29"/>
        <v>0</v>
      </c>
      <c r="V57" s="21">
        <f t="shared" si="30"/>
        <v>0</v>
      </c>
      <c r="W57" s="21">
        <f t="shared" si="31"/>
        <v>0</v>
      </c>
      <c r="X57" s="21">
        <f t="shared" si="32"/>
        <v>0</v>
      </c>
      <c r="Y57" s="21">
        <f t="shared" si="33"/>
        <v>3</v>
      </c>
    </row>
    <row r="58" spans="1:25" x14ac:dyDescent="0.25">
      <c r="A58" s="21" t="s">
        <v>360</v>
      </c>
      <c r="B58" s="21" t="s">
        <v>155</v>
      </c>
      <c r="C58" s="21" t="s">
        <v>246</v>
      </c>
      <c r="D58" s="21" t="s">
        <v>87</v>
      </c>
      <c r="E58" s="25">
        <v>46212</v>
      </c>
      <c r="F58" s="25">
        <v>46227</v>
      </c>
      <c r="G58" s="21">
        <v>12</v>
      </c>
      <c r="H58" s="21" t="s">
        <v>304</v>
      </c>
      <c r="I58" s="21" t="str">
        <f t="shared" si="17"/>
        <v>Finance</v>
      </c>
      <c r="J58" s="21" t="str">
        <f t="shared" si="18"/>
        <v>Goma</v>
      </c>
      <c r="K58" s="21">
        <f t="shared" si="19"/>
        <v>1</v>
      </c>
      <c r="L58" s="21">
        <f t="shared" si="20"/>
        <v>1</v>
      </c>
      <c r="M58" s="21">
        <f t="shared" si="21"/>
        <v>0</v>
      </c>
      <c r="N58" s="21">
        <f t="shared" si="22"/>
        <v>0</v>
      </c>
      <c r="O58" s="21">
        <f t="shared" si="23"/>
        <v>0</v>
      </c>
      <c r="P58" s="21">
        <f t="shared" si="24"/>
        <v>0</v>
      </c>
      <c r="Q58" s="21">
        <f t="shared" si="25"/>
        <v>0</v>
      </c>
      <c r="R58" s="21">
        <f t="shared" si="26"/>
        <v>0</v>
      </c>
      <c r="S58" s="21">
        <f t="shared" si="27"/>
        <v>12</v>
      </c>
      <c r="T58" s="21">
        <f t="shared" si="28"/>
        <v>0</v>
      </c>
      <c r="U58" s="21">
        <f t="shared" si="29"/>
        <v>0</v>
      </c>
      <c r="V58" s="21">
        <f t="shared" si="30"/>
        <v>0</v>
      </c>
      <c r="W58" s="21">
        <f t="shared" si="31"/>
        <v>0</v>
      </c>
      <c r="X58" s="21">
        <f t="shared" si="32"/>
        <v>0</v>
      </c>
      <c r="Y58" s="21">
        <f t="shared" si="33"/>
        <v>12</v>
      </c>
    </row>
    <row r="59" spans="1:25" x14ac:dyDescent="0.25">
      <c r="A59" s="21" t="s">
        <v>361</v>
      </c>
      <c r="B59" s="21" t="s">
        <v>216</v>
      </c>
      <c r="C59" s="21" t="s">
        <v>277</v>
      </c>
      <c r="D59" s="21" t="s">
        <v>87</v>
      </c>
      <c r="E59" s="25">
        <v>46216</v>
      </c>
      <c r="F59" s="25">
        <v>46224</v>
      </c>
      <c r="G59" s="21">
        <v>7</v>
      </c>
      <c r="H59" s="21" t="s">
        <v>304</v>
      </c>
      <c r="I59" s="21" t="str">
        <f t="shared" si="17"/>
        <v>Commercial et service client</v>
      </c>
      <c r="J59" s="21" t="str">
        <f t="shared" si="18"/>
        <v>Beni</v>
      </c>
      <c r="K59" s="21">
        <f t="shared" si="19"/>
        <v>1</v>
      </c>
      <c r="L59" s="21">
        <f t="shared" si="20"/>
        <v>1</v>
      </c>
      <c r="M59" s="21">
        <f t="shared" si="21"/>
        <v>0</v>
      </c>
      <c r="N59" s="21">
        <f t="shared" si="22"/>
        <v>0</v>
      </c>
      <c r="O59" s="21">
        <f t="shared" si="23"/>
        <v>0</v>
      </c>
      <c r="P59" s="21">
        <f t="shared" si="24"/>
        <v>0</v>
      </c>
      <c r="Q59" s="21">
        <f t="shared" si="25"/>
        <v>0</v>
      </c>
      <c r="R59" s="21">
        <f t="shared" si="26"/>
        <v>0</v>
      </c>
      <c r="S59" s="21">
        <f t="shared" si="27"/>
        <v>7</v>
      </c>
      <c r="T59" s="21">
        <f t="shared" si="28"/>
        <v>0</v>
      </c>
      <c r="U59" s="21">
        <f t="shared" si="29"/>
        <v>0</v>
      </c>
      <c r="V59" s="21">
        <f t="shared" si="30"/>
        <v>0</v>
      </c>
      <c r="W59" s="21">
        <f t="shared" si="31"/>
        <v>0</v>
      </c>
      <c r="X59" s="21">
        <f t="shared" si="32"/>
        <v>0</v>
      </c>
      <c r="Y59" s="21">
        <f t="shared" si="33"/>
        <v>7</v>
      </c>
    </row>
    <row r="60" spans="1:25" x14ac:dyDescent="0.25">
      <c r="A60" s="21" t="s">
        <v>362</v>
      </c>
      <c r="B60" s="21" t="s">
        <v>180</v>
      </c>
      <c r="C60" s="21" t="s">
        <v>261</v>
      </c>
      <c r="D60" s="21" t="s">
        <v>90</v>
      </c>
      <c r="E60" s="25">
        <v>46219</v>
      </c>
      <c r="F60" s="25">
        <v>46219</v>
      </c>
      <c r="G60" s="21">
        <v>1</v>
      </c>
      <c r="H60" s="21" t="s">
        <v>304</v>
      </c>
      <c r="I60" s="21" t="str">
        <f t="shared" si="17"/>
        <v>Opérations techniques</v>
      </c>
      <c r="J60" s="21" t="str">
        <f t="shared" si="18"/>
        <v>Goma</v>
      </c>
      <c r="K60" s="21">
        <f t="shared" si="19"/>
        <v>1</v>
      </c>
      <c r="L60" s="21">
        <f t="shared" si="20"/>
        <v>1</v>
      </c>
      <c r="M60" s="21">
        <f t="shared" si="21"/>
        <v>0</v>
      </c>
      <c r="N60" s="21">
        <f t="shared" si="22"/>
        <v>0</v>
      </c>
      <c r="O60" s="21">
        <f t="shared" si="23"/>
        <v>0</v>
      </c>
      <c r="P60" s="21">
        <f t="shared" si="24"/>
        <v>0</v>
      </c>
      <c r="Q60" s="21">
        <f t="shared" si="25"/>
        <v>0</v>
      </c>
      <c r="R60" s="21">
        <f t="shared" si="26"/>
        <v>0</v>
      </c>
      <c r="S60" s="21">
        <f t="shared" si="27"/>
        <v>1</v>
      </c>
      <c r="T60" s="21">
        <f t="shared" si="28"/>
        <v>0</v>
      </c>
      <c r="U60" s="21">
        <f t="shared" si="29"/>
        <v>0</v>
      </c>
      <c r="V60" s="21">
        <f t="shared" si="30"/>
        <v>0</v>
      </c>
      <c r="W60" s="21">
        <f t="shared" si="31"/>
        <v>0</v>
      </c>
      <c r="X60" s="21">
        <f t="shared" si="32"/>
        <v>0</v>
      </c>
      <c r="Y60" s="21">
        <f t="shared" si="33"/>
        <v>1</v>
      </c>
    </row>
    <row r="61" spans="1:25" x14ac:dyDescent="0.25">
      <c r="A61" s="21" t="s">
        <v>363</v>
      </c>
      <c r="B61" s="21" t="s">
        <v>199</v>
      </c>
      <c r="C61" s="21" t="s">
        <v>269</v>
      </c>
      <c r="D61" s="21" t="s">
        <v>87</v>
      </c>
      <c r="E61" s="25">
        <v>46219</v>
      </c>
      <c r="F61" s="25">
        <v>46231</v>
      </c>
      <c r="G61" s="21">
        <v>9</v>
      </c>
      <c r="H61" s="21" t="s">
        <v>304</v>
      </c>
      <c r="I61" s="21" t="str">
        <f t="shared" si="17"/>
        <v>Opérations techniques</v>
      </c>
      <c r="J61" s="21" t="str">
        <f t="shared" si="18"/>
        <v>Bukavu</v>
      </c>
      <c r="K61" s="21">
        <f t="shared" si="19"/>
        <v>1</v>
      </c>
      <c r="L61" s="21">
        <f t="shared" si="20"/>
        <v>1</v>
      </c>
      <c r="M61" s="21">
        <f t="shared" si="21"/>
        <v>0</v>
      </c>
      <c r="N61" s="21">
        <f t="shared" si="22"/>
        <v>0</v>
      </c>
      <c r="O61" s="21">
        <f t="shared" si="23"/>
        <v>0</v>
      </c>
      <c r="P61" s="21">
        <f t="shared" si="24"/>
        <v>0</v>
      </c>
      <c r="Q61" s="21">
        <f t="shared" si="25"/>
        <v>0</v>
      </c>
      <c r="R61" s="21">
        <f t="shared" si="26"/>
        <v>0</v>
      </c>
      <c r="S61" s="21">
        <f t="shared" si="27"/>
        <v>9</v>
      </c>
      <c r="T61" s="21">
        <f t="shared" si="28"/>
        <v>0</v>
      </c>
      <c r="U61" s="21">
        <f t="shared" si="29"/>
        <v>0</v>
      </c>
      <c r="V61" s="21">
        <f t="shared" si="30"/>
        <v>0</v>
      </c>
      <c r="W61" s="21">
        <f t="shared" si="31"/>
        <v>0</v>
      </c>
      <c r="X61" s="21">
        <f t="shared" si="32"/>
        <v>0</v>
      </c>
      <c r="Y61" s="21">
        <f t="shared" si="33"/>
        <v>9</v>
      </c>
    </row>
    <row r="62" spans="1:25" x14ac:dyDescent="0.25">
      <c r="A62" s="21" t="s">
        <v>364</v>
      </c>
      <c r="B62" s="21" t="s">
        <v>223</v>
      </c>
      <c r="C62" s="21" t="s">
        <v>281</v>
      </c>
      <c r="D62" s="21" t="s">
        <v>87</v>
      </c>
      <c r="E62" s="25">
        <v>46226</v>
      </c>
      <c r="F62" s="25">
        <v>46232</v>
      </c>
      <c r="G62" s="21">
        <v>5</v>
      </c>
      <c r="H62" s="21" t="s">
        <v>304</v>
      </c>
      <c r="I62" s="21" t="str">
        <f t="shared" si="17"/>
        <v>Informatique</v>
      </c>
      <c r="J62" s="21" t="str">
        <f t="shared" si="18"/>
        <v>Goma</v>
      </c>
      <c r="K62" s="21">
        <f t="shared" si="19"/>
        <v>1</v>
      </c>
      <c r="L62" s="21">
        <f t="shared" si="20"/>
        <v>1</v>
      </c>
      <c r="M62" s="21">
        <f t="shared" si="21"/>
        <v>0</v>
      </c>
      <c r="N62" s="21">
        <f t="shared" si="22"/>
        <v>0</v>
      </c>
      <c r="O62" s="21">
        <f t="shared" si="23"/>
        <v>0</v>
      </c>
      <c r="P62" s="21">
        <f t="shared" si="24"/>
        <v>0</v>
      </c>
      <c r="Q62" s="21">
        <f t="shared" si="25"/>
        <v>0</v>
      </c>
      <c r="R62" s="21">
        <f t="shared" si="26"/>
        <v>0</v>
      </c>
      <c r="S62" s="21">
        <f t="shared" si="27"/>
        <v>5</v>
      </c>
      <c r="T62" s="21">
        <f t="shared" si="28"/>
        <v>0</v>
      </c>
      <c r="U62" s="21">
        <f t="shared" si="29"/>
        <v>0</v>
      </c>
      <c r="V62" s="21">
        <f t="shared" si="30"/>
        <v>0</v>
      </c>
      <c r="W62" s="21">
        <f t="shared" si="31"/>
        <v>0</v>
      </c>
      <c r="X62" s="21">
        <f t="shared" si="32"/>
        <v>0</v>
      </c>
      <c r="Y62" s="21">
        <f t="shared" si="33"/>
        <v>5</v>
      </c>
    </row>
    <row r="63" spans="1:25" x14ac:dyDescent="0.25">
      <c r="A63" s="21" t="s">
        <v>365</v>
      </c>
      <c r="B63" s="21" t="s">
        <v>170</v>
      </c>
      <c r="C63" s="21" t="s">
        <v>257</v>
      </c>
      <c r="D63" s="21" t="s">
        <v>89</v>
      </c>
      <c r="E63" s="25">
        <v>46237</v>
      </c>
      <c r="F63" s="25">
        <v>46237</v>
      </c>
      <c r="G63" s="21">
        <v>1</v>
      </c>
      <c r="H63" s="21" t="s">
        <v>341</v>
      </c>
      <c r="I63" s="21" t="str">
        <f t="shared" si="17"/>
        <v>Logistique</v>
      </c>
      <c r="J63" s="21" t="str">
        <f t="shared" si="18"/>
        <v>Bukavu</v>
      </c>
      <c r="K63" s="21">
        <f t="shared" si="19"/>
        <v>1</v>
      </c>
      <c r="L63" s="21">
        <f t="shared" si="20"/>
        <v>1</v>
      </c>
      <c r="M63" s="21">
        <f t="shared" si="21"/>
        <v>0</v>
      </c>
      <c r="N63" s="21">
        <f t="shared" si="22"/>
        <v>0</v>
      </c>
      <c r="O63" s="21">
        <f t="shared" si="23"/>
        <v>0</v>
      </c>
      <c r="P63" s="21">
        <f t="shared" si="24"/>
        <v>0</v>
      </c>
      <c r="Q63" s="21">
        <f t="shared" si="25"/>
        <v>0</v>
      </c>
      <c r="R63" s="21">
        <f t="shared" si="26"/>
        <v>0</v>
      </c>
      <c r="S63" s="21">
        <f t="shared" si="27"/>
        <v>0</v>
      </c>
      <c r="T63" s="21">
        <f t="shared" si="28"/>
        <v>1</v>
      </c>
      <c r="U63" s="21">
        <f t="shared" si="29"/>
        <v>0</v>
      </c>
      <c r="V63" s="21">
        <f t="shared" si="30"/>
        <v>0</v>
      </c>
      <c r="W63" s="21">
        <f t="shared" si="31"/>
        <v>0</v>
      </c>
      <c r="X63" s="21">
        <f t="shared" si="32"/>
        <v>0</v>
      </c>
      <c r="Y63" s="21">
        <f t="shared" si="33"/>
        <v>1</v>
      </c>
    </row>
    <row r="64" spans="1:25" x14ac:dyDescent="0.25">
      <c r="A64" s="21" t="s">
        <v>366</v>
      </c>
      <c r="B64" s="21" t="s">
        <v>143</v>
      </c>
      <c r="C64" s="21" t="s">
        <v>240</v>
      </c>
      <c r="D64" s="21" t="s">
        <v>90</v>
      </c>
      <c r="E64" s="25">
        <v>46244</v>
      </c>
      <c r="F64" s="25">
        <v>46247</v>
      </c>
      <c r="G64" s="21">
        <v>4</v>
      </c>
      <c r="H64" s="21" t="s">
        <v>304</v>
      </c>
      <c r="I64" s="21" t="str">
        <f t="shared" si="17"/>
        <v>Direction</v>
      </c>
      <c r="J64" s="21" t="str">
        <f t="shared" si="18"/>
        <v>Goma</v>
      </c>
      <c r="K64" s="21">
        <f t="shared" si="19"/>
        <v>1</v>
      </c>
      <c r="L64" s="21">
        <f t="shared" si="20"/>
        <v>1</v>
      </c>
      <c r="M64" s="21">
        <f t="shared" si="21"/>
        <v>0</v>
      </c>
      <c r="N64" s="21">
        <f t="shared" si="22"/>
        <v>0</v>
      </c>
      <c r="O64" s="21">
        <f t="shared" si="23"/>
        <v>0</v>
      </c>
      <c r="P64" s="21">
        <f t="shared" si="24"/>
        <v>0</v>
      </c>
      <c r="Q64" s="21">
        <f t="shared" si="25"/>
        <v>0</v>
      </c>
      <c r="R64" s="21">
        <f t="shared" si="26"/>
        <v>0</v>
      </c>
      <c r="S64" s="21">
        <f t="shared" si="27"/>
        <v>0</v>
      </c>
      <c r="T64" s="21">
        <f t="shared" si="28"/>
        <v>4</v>
      </c>
      <c r="U64" s="21">
        <f t="shared" si="29"/>
        <v>0</v>
      </c>
      <c r="V64" s="21">
        <f t="shared" si="30"/>
        <v>0</v>
      </c>
      <c r="W64" s="21">
        <f t="shared" si="31"/>
        <v>0</v>
      </c>
      <c r="X64" s="21">
        <f t="shared" si="32"/>
        <v>0</v>
      </c>
      <c r="Y64" s="21">
        <f t="shared" si="33"/>
        <v>4</v>
      </c>
    </row>
    <row r="65" spans="1:25" x14ac:dyDescent="0.25">
      <c r="A65" s="21" t="s">
        <v>367</v>
      </c>
      <c r="B65" s="21" t="s">
        <v>149</v>
      </c>
      <c r="C65" s="21" t="s">
        <v>242</v>
      </c>
      <c r="D65" s="21" t="s">
        <v>90</v>
      </c>
      <c r="E65" s="25">
        <v>46245</v>
      </c>
      <c r="F65" s="25">
        <v>46248</v>
      </c>
      <c r="G65" s="21">
        <v>4</v>
      </c>
      <c r="H65" s="21" t="s">
        <v>304</v>
      </c>
      <c r="I65" s="21" t="str">
        <f t="shared" si="17"/>
        <v>Ressources humaines</v>
      </c>
      <c r="J65" s="21" t="str">
        <f t="shared" si="18"/>
        <v>Goma</v>
      </c>
      <c r="K65" s="21">
        <f t="shared" si="19"/>
        <v>1</v>
      </c>
      <c r="L65" s="21">
        <f t="shared" si="20"/>
        <v>1</v>
      </c>
      <c r="M65" s="21">
        <f t="shared" si="21"/>
        <v>0</v>
      </c>
      <c r="N65" s="21">
        <f t="shared" si="22"/>
        <v>0</v>
      </c>
      <c r="O65" s="21">
        <f t="shared" si="23"/>
        <v>0</v>
      </c>
      <c r="P65" s="21">
        <f t="shared" si="24"/>
        <v>0</v>
      </c>
      <c r="Q65" s="21">
        <f t="shared" si="25"/>
        <v>0</v>
      </c>
      <c r="R65" s="21">
        <f t="shared" si="26"/>
        <v>0</v>
      </c>
      <c r="S65" s="21">
        <f t="shared" si="27"/>
        <v>0</v>
      </c>
      <c r="T65" s="21">
        <f t="shared" si="28"/>
        <v>4</v>
      </c>
      <c r="U65" s="21">
        <f t="shared" si="29"/>
        <v>0</v>
      </c>
      <c r="V65" s="21">
        <f t="shared" si="30"/>
        <v>0</v>
      </c>
      <c r="W65" s="21">
        <f t="shared" si="31"/>
        <v>0</v>
      </c>
      <c r="X65" s="21">
        <f t="shared" si="32"/>
        <v>0</v>
      </c>
      <c r="Y65" s="21">
        <f t="shared" si="33"/>
        <v>4</v>
      </c>
    </row>
    <row r="66" spans="1:25" x14ac:dyDescent="0.25">
      <c r="A66" s="21" t="s">
        <v>368</v>
      </c>
      <c r="B66" s="21" t="s">
        <v>170</v>
      </c>
      <c r="C66" s="21" t="s">
        <v>257</v>
      </c>
      <c r="D66" s="21" t="s">
        <v>87</v>
      </c>
      <c r="E66" s="25">
        <v>46245</v>
      </c>
      <c r="F66" s="25">
        <v>46254</v>
      </c>
      <c r="G66" s="21">
        <v>8</v>
      </c>
      <c r="H66" s="21" t="s">
        <v>304</v>
      </c>
      <c r="I66" s="21" t="str">
        <f t="shared" si="17"/>
        <v>Logistique</v>
      </c>
      <c r="J66" s="21" t="str">
        <f t="shared" si="18"/>
        <v>Bukavu</v>
      </c>
      <c r="K66" s="21">
        <f t="shared" si="19"/>
        <v>1</v>
      </c>
      <c r="L66" s="21">
        <f t="shared" si="20"/>
        <v>1</v>
      </c>
      <c r="M66" s="21">
        <f t="shared" si="21"/>
        <v>0</v>
      </c>
      <c r="N66" s="21">
        <f t="shared" si="22"/>
        <v>0</v>
      </c>
      <c r="O66" s="21">
        <f t="shared" si="23"/>
        <v>0</v>
      </c>
      <c r="P66" s="21">
        <f t="shared" si="24"/>
        <v>0</v>
      </c>
      <c r="Q66" s="21">
        <f t="shared" si="25"/>
        <v>0</v>
      </c>
      <c r="R66" s="21">
        <f t="shared" si="26"/>
        <v>0</v>
      </c>
      <c r="S66" s="21">
        <f t="shared" si="27"/>
        <v>0</v>
      </c>
      <c r="T66" s="21">
        <f t="shared" si="28"/>
        <v>8</v>
      </c>
      <c r="U66" s="21">
        <f t="shared" si="29"/>
        <v>0</v>
      </c>
      <c r="V66" s="21">
        <f t="shared" si="30"/>
        <v>0</v>
      </c>
      <c r="W66" s="21">
        <f t="shared" si="31"/>
        <v>0</v>
      </c>
      <c r="X66" s="21">
        <f t="shared" si="32"/>
        <v>0</v>
      </c>
      <c r="Y66" s="21">
        <f t="shared" si="33"/>
        <v>8</v>
      </c>
    </row>
    <row r="67" spans="1:25" x14ac:dyDescent="0.25">
      <c r="A67" s="21" t="s">
        <v>369</v>
      </c>
      <c r="B67" s="21" t="s">
        <v>207</v>
      </c>
      <c r="C67" s="21" t="s">
        <v>272</v>
      </c>
      <c r="D67" s="21" t="s">
        <v>90</v>
      </c>
      <c r="E67" s="25">
        <v>46246</v>
      </c>
      <c r="F67" s="25">
        <v>46246</v>
      </c>
      <c r="G67" s="21">
        <v>1</v>
      </c>
      <c r="H67" s="21" t="s">
        <v>304</v>
      </c>
      <c r="I67" s="21" t="str">
        <f t="shared" si="17"/>
        <v>Commercial et service client</v>
      </c>
      <c r="J67" s="21" t="str">
        <f t="shared" si="18"/>
        <v>Goma</v>
      </c>
      <c r="K67" s="21">
        <f t="shared" si="19"/>
        <v>1</v>
      </c>
      <c r="L67" s="21">
        <f t="shared" si="20"/>
        <v>1</v>
      </c>
      <c r="M67" s="21">
        <f t="shared" si="21"/>
        <v>0</v>
      </c>
      <c r="N67" s="21">
        <f t="shared" si="22"/>
        <v>0</v>
      </c>
      <c r="O67" s="21">
        <f t="shared" si="23"/>
        <v>0</v>
      </c>
      <c r="P67" s="21">
        <f t="shared" si="24"/>
        <v>0</v>
      </c>
      <c r="Q67" s="21">
        <f t="shared" si="25"/>
        <v>0</v>
      </c>
      <c r="R67" s="21">
        <f t="shared" si="26"/>
        <v>0</v>
      </c>
      <c r="S67" s="21">
        <f t="shared" si="27"/>
        <v>0</v>
      </c>
      <c r="T67" s="21">
        <f t="shared" si="28"/>
        <v>1</v>
      </c>
      <c r="U67" s="21">
        <f t="shared" si="29"/>
        <v>0</v>
      </c>
      <c r="V67" s="21">
        <f t="shared" si="30"/>
        <v>0</v>
      </c>
      <c r="W67" s="21">
        <f t="shared" si="31"/>
        <v>0</v>
      </c>
      <c r="X67" s="21">
        <f t="shared" si="32"/>
        <v>0</v>
      </c>
      <c r="Y67" s="21">
        <f t="shared" si="33"/>
        <v>1</v>
      </c>
    </row>
    <row r="68" spans="1:25" x14ac:dyDescent="0.25">
      <c r="A68" s="21" t="s">
        <v>370</v>
      </c>
      <c r="B68" s="21" t="s">
        <v>152</v>
      </c>
      <c r="C68" s="21" t="s">
        <v>244</v>
      </c>
      <c r="D68" s="21" t="s">
        <v>87</v>
      </c>
      <c r="E68" s="25">
        <v>46247</v>
      </c>
      <c r="F68" s="25">
        <v>46254</v>
      </c>
      <c r="G68" s="21">
        <v>6</v>
      </c>
      <c r="H68" s="21" t="s">
        <v>304</v>
      </c>
      <c r="I68" s="21" t="str">
        <f t="shared" ref="I68:I101" si="34">INDEX(cl_dep,MATCH(B68,cl_mat,0))</f>
        <v>Ressources humaines</v>
      </c>
      <c r="J68" s="21" t="str">
        <f t="shared" ref="J68:J101" si="35">INDEX(cl_bur,MATCH(B68,cl_mat,0))</f>
        <v>Goma</v>
      </c>
      <c r="K68" s="21">
        <f t="shared" ref="K68:K99" si="36">IF(AND(OR(FiltreDep="Tous",I68=FiltreDep),OR(FiltreBur="Tous",J68=FiltreBur)),1,0)</f>
        <v>1</v>
      </c>
      <c r="L68" s="21">
        <f t="shared" ref="L68:L101" si="37">IF(OR(H68="Approuvée",H68="Constatée"),1,0)</f>
        <v>1</v>
      </c>
      <c r="M68" s="21">
        <f t="shared" ref="M68:M101" si="38">IF($L68=0,0,MAX(0,NETWORKDAYS(MAX($E68,DATE(YEAR(DateSit),1,1)),MIN($F68,EOMONTH(DATE(YEAR(DateSit),1,1),0),DateSit))))</f>
        <v>0</v>
      </c>
      <c r="N68" s="21">
        <f t="shared" ref="N68:N101" si="39">IF($L68=0,0,MAX(0,NETWORKDAYS(MAX($E68,DATE(YEAR(DateSit),2,1)),MIN($F68,EOMONTH(DATE(YEAR(DateSit),2,1),0),DateSit))))</f>
        <v>0</v>
      </c>
      <c r="O68" s="21">
        <f t="shared" ref="O68:O101" si="40">IF($L68=0,0,MAX(0,NETWORKDAYS(MAX($E68,DATE(YEAR(DateSit),3,1)),MIN($F68,EOMONTH(DATE(YEAR(DateSit),3,1),0),DateSit))))</f>
        <v>0</v>
      </c>
      <c r="P68" s="21">
        <f t="shared" ref="P68:P101" si="41">IF($L68=0,0,MAX(0,NETWORKDAYS(MAX($E68,DATE(YEAR(DateSit),4,1)),MIN($F68,EOMONTH(DATE(YEAR(DateSit),4,1),0),DateSit))))</f>
        <v>0</v>
      </c>
      <c r="Q68" s="21">
        <f t="shared" ref="Q68:Q101" si="42">IF($L68=0,0,MAX(0,NETWORKDAYS(MAX($E68,DATE(YEAR(DateSit),5,1)),MIN($F68,EOMONTH(DATE(YEAR(DateSit),5,1),0),DateSit))))</f>
        <v>0</v>
      </c>
      <c r="R68" s="21">
        <f t="shared" ref="R68:R101" si="43">IF($L68=0,0,MAX(0,NETWORKDAYS(MAX($E68,DATE(YEAR(DateSit),6,1)),MIN($F68,EOMONTH(DATE(YEAR(DateSit),6,1),0),DateSit))))</f>
        <v>0</v>
      </c>
      <c r="S68" s="21">
        <f t="shared" ref="S68:S101" si="44">IF($L68=0,0,MAX(0,NETWORKDAYS(MAX($E68,DATE(YEAR(DateSit),7,1)),MIN($F68,EOMONTH(DATE(YEAR(DateSit),7,1),0),DateSit))))</f>
        <v>0</v>
      </c>
      <c r="T68" s="21">
        <f t="shared" ref="T68:T101" si="45">IF($L68=0,0,MAX(0,NETWORKDAYS(MAX($E68,DATE(YEAR(DateSit),8,1)),MIN($F68,EOMONTH(DATE(YEAR(DateSit),8,1),0),DateSit))))</f>
        <v>6</v>
      </c>
      <c r="U68" s="21">
        <f t="shared" ref="U68:U101" si="46">IF($L68=0,0,MAX(0,NETWORKDAYS(MAX($E68,DATE(YEAR(DateSit),9,1)),MIN($F68,EOMONTH(DATE(YEAR(DateSit),9,1),0),DateSit))))</f>
        <v>0</v>
      </c>
      <c r="V68" s="21">
        <f t="shared" ref="V68:V101" si="47">IF($L68=0,0,MAX(0,NETWORKDAYS(MAX($E68,DATE(YEAR(DateSit),10,1)),MIN($F68,EOMONTH(DATE(YEAR(DateSit),10,1),0),DateSit))))</f>
        <v>0</v>
      </c>
      <c r="W68" s="21">
        <f t="shared" ref="W68:W101" si="48">IF($L68=0,0,MAX(0,NETWORKDAYS(MAX($E68,DATE(YEAR(DateSit),11,1)),MIN($F68,EOMONTH(DATE(YEAR(DateSit),11,1),0),DateSit))))</f>
        <v>0</v>
      </c>
      <c r="X68" s="21">
        <f t="shared" ref="X68:X101" si="49">IF($L68=0,0,MAX(0,NETWORKDAYS(MAX($E68,DATE(YEAR(DateSit),12,1)),MIN($F68,EOMONTH(DATE(YEAR(DateSit),12,1),0),DateSit))))</f>
        <v>0</v>
      </c>
      <c r="Y68" s="21">
        <f t="shared" ref="Y68:Y99" si="50">SUM(M68:X68)</f>
        <v>6</v>
      </c>
    </row>
    <row r="69" spans="1:25" x14ac:dyDescent="0.25">
      <c r="A69" s="21" t="s">
        <v>371</v>
      </c>
      <c r="B69" s="21" t="s">
        <v>168</v>
      </c>
      <c r="C69" s="21" t="s">
        <v>255</v>
      </c>
      <c r="D69" s="21" t="s">
        <v>87</v>
      </c>
      <c r="E69" s="25">
        <v>46253</v>
      </c>
      <c r="F69" s="25">
        <v>46265</v>
      </c>
      <c r="G69" s="21">
        <v>9</v>
      </c>
      <c r="H69" s="21" t="s">
        <v>304</v>
      </c>
      <c r="I69" s="21" t="str">
        <f t="shared" si="34"/>
        <v>Logistique</v>
      </c>
      <c r="J69" s="21" t="str">
        <f t="shared" si="35"/>
        <v>Goma</v>
      </c>
      <c r="K69" s="21">
        <f t="shared" si="36"/>
        <v>1</v>
      </c>
      <c r="L69" s="21">
        <f t="shared" si="37"/>
        <v>1</v>
      </c>
      <c r="M69" s="21">
        <f t="shared" si="38"/>
        <v>0</v>
      </c>
      <c r="N69" s="21">
        <f t="shared" si="39"/>
        <v>0</v>
      </c>
      <c r="O69" s="21">
        <f t="shared" si="40"/>
        <v>0</v>
      </c>
      <c r="P69" s="21">
        <f t="shared" si="41"/>
        <v>0</v>
      </c>
      <c r="Q69" s="21">
        <f t="shared" si="42"/>
        <v>0</v>
      </c>
      <c r="R69" s="21">
        <f t="shared" si="43"/>
        <v>0</v>
      </c>
      <c r="S69" s="21">
        <f t="shared" si="44"/>
        <v>0</v>
      </c>
      <c r="T69" s="21">
        <f t="shared" si="45"/>
        <v>9</v>
      </c>
      <c r="U69" s="21">
        <f t="shared" si="46"/>
        <v>0</v>
      </c>
      <c r="V69" s="21">
        <f t="shared" si="47"/>
        <v>0</v>
      </c>
      <c r="W69" s="21">
        <f t="shared" si="48"/>
        <v>0</v>
      </c>
      <c r="X69" s="21">
        <f t="shared" si="49"/>
        <v>0</v>
      </c>
      <c r="Y69" s="21">
        <f t="shared" si="50"/>
        <v>9</v>
      </c>
    </row>
    <row r="70" spans="1:25" x14ac:dyDescent="0.25">
      <c r="A70" s="21" t="s">
        <v>372</v>
      </c>
      <c r="B70" s="21" t="s">
        <v>182</v>
      </c>
      <c r="C70" s="21" t="s">
        <v>263</v>
      </c>
      <c r="D70" s="21" t="s">
        <v>87</v>
      </c>
      <c r="E70" s="25">
        <v>46260</v>
      </c>
      <c r="F70" s="25">
        <v>46272</v>
      </c>
      <c r="G70" s="21">
        <v>9</v>
      </c>
      <c r="H70" s="21" t="s">
        <v>304</v>
      </c>
      <c r="I70" s="21" t="str">
        <f t="shared" si="34"/>
        <v>Opérations techniques</v>
      </c>
      <c r="J70" s="21" t="str">
        <f t="shared" si="35"/>
        <v>Goma</v>
      </c>
      <c r="K70" s="21">
        <f t="shared" si="36"/>
        <v>1</v>
      </c>
      <c r="L70" s="21">
        <f t="shared" si="37"/>
        <v>1</v>
      </c>
      <c r="M70" s="21">
        <f t="shared" si="38"/>
        <v>0</v>
      </c>
      <c r="N70" s="21">
        <f t="shared" si="39"/>
        <v>0</v>
      </c>
      <c r="O70" s="21">
        <f t="shared" si="40"/>
        <v>0</v>
      </c>
      <c r="P70" s="21">
        <f t="shared" si="41"/>
        <v>0</v>
      </c>
      <c r="Q70" s="21">
        <f t="shared" si="42"/>
        <v>0</v>
      </c>
      <c r="R70" s="21">
        <f t="shared" si="43"/>
        <v>0</v>
      </c>
      <c r="S70" s="21">
        <f t="shared" si="44"/>
        <v>0</v>
      </c>
      <c r="T70" s="21">
        <f t="shared" si="45"/>
        <v>4</v>
      </c>
      <c r="U70" s="21">
        <f t="shared" si="46"/>
        <v>5</v>
      </c>
      <c r="V70" s="21">
        <f t="shared" si="47"/>
        <v>0</v>
      </c>
      <c r="W70" s="21">
        <f t="shared" si="48"/>
        <v>0</v>
      </c>
      <c r="X70" s="21">
        <f t="shared" si="49"/>
        <v>0</v>
      </c>
      <c r="Y70" s="21">
        <f t="shared" si="50"/>
        <v>9</v>
      </c>
    </row>
    <row r="71" spans="1:25" x14ac:dyDescent="0.25">
      <c r="A71" s="21" t="s">
        <v>373</v>
      </c>
      <c r="B71" s="21" t="s">
        <v>149</v>
      </c>
      <c r="C71" s="21" t="s">
        <v>242</v>
      </c>
      <c r="D71" s="21" t="s">
        <v>87</v>
      </c>
      <c r="E71" s="25">
        <v>46261</v>
      </c>
      <c r="F71" s="25">
        <v>46273</v>
      </c>
      <c r="G71" s="21">
        <v>9</v>
      </c>
      <c r="H71" s="21" t="s">
        <v>304</v>
      </c>
      <c r="I71" s="21" t="str">
        <f t="shared" si="34"/>
        <v>Ressources humaines</v>
      </c>
      <c r="J71" s="21" t="str">
        <f t="shared" si="35"/>
        <v>Goma</v>
      </c>
      <c r="K71" s="21">
        <f t="shared" si="36"/>
        <v>1</v>
      </c>
      <c r="L71" s="21">
        <f t="shared" si="37"/>
        <v>1</v>
      </c>
      <c r="M71" s="21">
        <f t="shared" si="38"/>
        <v>0</v>
      </c>
      <c r="N71" s="21">
        <f t="shared" si="39"/>
        <v>0</v>
      </c>
      <c r="O71" s="21">
        <f t="shared" si="40"/>
        <v>0</v>
      </c>
      <c r="P71" s="21">
        <f t="shared" si="41"/>
        <v>0</v>
      </c>
      <c r="Q71" s="21">
        <f t="shared" si="42"/>
        <v>0</v>
      </c>
      <c r="R71" s="21">
        <f t="shared" si="43"/>
        <v>0</v>
      </c>
      <c r="S71" s="21">
        <f t="shared" si="44"/>
        <v>0</v>
      </c>
      <c r="T71" s="21">
        <f t="shared" si="45"/>
        <v>3</v>
      </c>
      <c r="U71" s="21">
        <f t="shared" si="46"/>
        <v>6</v>
      </c>
      <c r="V71" s="21">
        <f t="shared" si="47"/>
        <v>0</v>
      </c>
      <c r="W71" s="21">
        <f t="shared" si="48"/>
        <v>0</v>
      </c>
      <c r="X71" s="21">
        <f t="shared" si="49"/>
        <v>0</v>
      </c>
      <c r="Y71" s="21">
        <f t="shared" si="50"/>
        <v>9</v>
      </c>
    </row>
    <row r="72" spans="1:25" x14ac:dyDescent="0.25">
      <c r="A72" s="21" t="s">
        <v>374</v>
      </c>
      <c r="B72" s="21" t="s">
        <v>161</v>
      </c>
      <c r="C72" s="21" t="s">
        <v>250</v>
      </c>
      <c r="D72" s="21" t="s">
        <v>87</v>
      </c>
      <c r="E72" s="25">
        <v>46265</v>
      </c>
      <c r="F72" s="25">
        <v>46274</v>
      </c>
      <c r="G72" s="21">
        <v>8</v>
      </c>
      <c r="H72" s="21" t="s">
        <v>304</v>
      </c>
      <c r="I72" s="21" t="str">
        <f t="shared" si="34"/>
        <v>Finance</v>
      </c>
      <c r="J72" s="21" t="str">
        <f t="shared" si="35"/>
        <v>Bukavu</v>
      </c>
      <c r="K72" s="21">
        <f t="shared" si="36"/>
        <v>1</v>
      </c>
      <c r="L72" s="21">
        <f t="shared" si="37"/>
        <v>1</v>
      </c>
      <c r="M72" s="21">
        <f t="shared" si="38"/>
        <v>0</v>
      </c>
      <c r="N72" s="21">
        <f t="shared" si="39"/>
        <v>0</v>
      </c>
      <c r="O72" s="21">
        <f t="shared" si="40"/>
        <v>0</v>
      </c>
      <c r="P72" s="21">
        <f t="shared" si="41"/>
        <v>0</v>
      </c>
      <c r="Q72" s="21">
        <f t="shared" si="42"/>
        <v>0</v>
      </c>
      <c r="R72" s="21">
        <f t="shared" si="43"/>
        <v>0</v>
      </c>
      <c r="S72" s="21">
        <f t="shared" si="44"/>
        <v>0</v>
      </c>
      <c r="T72" s="21">
        <f t="shared" si="45"/>
        <v>1</v>
      </c>
      <c r="U72" s="21">
        <f t="shared" si="46"/>
        <v>7</v>
      </c>
      <c r="V72" s="21">
        <f t="shared" si="47"/>
        <v>0</v>
      </c>
      <c r="W72" s="21">
        <f t="shared" si="48"/>
        <v>0</v>
      </c>
      <c r="X72" s="21">
        <f t="shared" si="49"/>
        <v>0</v>
      </c>
      <c r="Y72" s="21">
        <f t="shared" si="50"/>
        <v>8</v>
      </c>
    </row>
    <row r="73" spans="1:25" x14ac:dyDescent="0.25">
      <c r="A73" s="21" t="s">
        <v>375</v>
      </c>
      <c r="B73" s="21" t="s">
        <v>152</v>
      </c>
      <c r="C73" s="21" t="s">
        <v>244</v>
      </c>
      <c r="D73" s="21" t="s">
        <v>87</v>
      </c>
      <c r="E73" s="25">
        <v>46268</v>
      </c>
      <c r="F73" s="25">
        <v>46280</v>
      </c>
      <c r="G73" s="21">
        <v>9</v>
      </c>
      <c r="H73" s="21" t="s">
        <v>304</v>
      </c>
      <c r="I73" s="21" t="str">
        <f t="shared" si="34"/>
        <v>Ressources humaines</v>
      </c>
      <c r="J73" s="21" t="str">
        <f t="shared" si="35"/>
        <v>Goma</v>
      </c>
      <c r="K73" s="21">
        <f t="shared" si="36"/>
        <v>1</v>
      </c>
      <c r="L73" s="21">
        <f t="shared" si="37"/>
        <v>1</v>
      </c>
      <c r="M73" s="21">
        <f t="shared" si="38"/>
        <v>0</v>
      </c>
      <c r="N73" s="21">
        <f t="shared" si="39"/>
        <v>0</v>
      </c>
      <c r="O73" s="21">
        <f t="shared" si="40"/>
        <v>0</v>
      </c>
      <c r="P73" s="21">
        <f t="shared" si="41"/>
        <v>0</v>
      </c>
      <c r="Q73" s="21">
        <f t="shared" si="42"/>
        <v>0</v>
      </c>
      <c r="R73" s="21">
        <f t="shared" si="43"/>
        <v>0</v>
      </c>
      <c r="S73" s="21">
        <f t="shared" si="44"/>
        <v>0</v>
      </c>
      <c r="T73" s="21">
        <f t="shared" si="45"/>
        <v>0</v>
      </c>
      <c r="U73" s="21">
        <f t="shared" si="46"/>
        <v>9</v>
      </c>
      <c r="V73" s="21">
        <f t="shared" si="47"/>
        <v>0</v>
      </c>
      <c r="W73" s="21">
        <f t="shared" si="48"/>
        <v>0</v>
      </c>
      <c r="X73" s="21">
        <f t="shared" si="49"/>
        <v>0</v>
      </c>
      <c r="Y73" s="21">
        <f t="shared" si="50"/>
        <v>9</v>
      </c>
    </row>
    <row r="74" spans="1:25" x14ac:dyDescent="0.25">
      <c r="A74" s="21" t="s">
        <v>376</v>
      </c>
      <c r="B74" s="21" t="s">
        <v>223</v>
      </c>
      <c r="C74" s="21" t="s">
        <v>281</v>
      </c>
      <c r="D74" s="21" t="s">
        <v>88</v>
      </c>
      <c r="E74" s="25">
        <v>46268</v>
      </c>
      <c r="F74" s="25">
        <v>46272</v>
      </c>
      <c r="G74" s="21">
        <v>3</v>
      </c>
      <c r="H74" s="21" t="s">
        <v>304</v>
      </c>
      <c r="I74" s="21" t="str">
        <f t="shared" si="34"/>
        <v>Informatique</v>
      </c>
      <c r="J74" s="21" t="str">
        <f t="shared" si="35"/>
        <v>Goma</v>
      </c>
      <c r="K74" s="21">
        <f t="shared" si="36"/>
        <v>1</v>
      </c>
      <c r="L74" s="21">
        <f t="shared" si="37"/>
        <v>1</v>
      </c>
      <c r="M74" s="21">
        <f t="shared" si="38"/>
        <v>0</v>
      </c>
      <c r="N74" s="21">
        <f t="shared" si="39"/>
        <v>0</v>
      </c>
      <c r="O74" s="21">
        <f t="shared" si="40"/>
        <v>0</v>
      </c>
      <c r="P74" s="21">
        <f t="shared" si="41"/>
        <v>0</v>
      </c>
      <c r="Q74" s="21">
        <f t="shared" si="42"/>
        <v>0</v>
      </c>
      <c r="R74" s="21">
        <f t="shared" si="43"/>
        <v>0</v>
      </c>
      <c r="S74" s="21">
        <f t="shared" si="44"/>
        <v>0</v>
      </c>
      <c r="T74" s="21">
        <f t="shared" si="45"/>
        <v>0</v>
      </c>
      <c r="U74" s="21">
        <f t="shared" si="46"/>
        <v>3</v>
      </c>
      <c r="V74" s="21">
        <f t="shared" si="47"/>
        <v>0</v>
      </c>
      <c r="W74" s="21">
        <f t="shared" si="48"/>
        <v>0</v>
      </c>
      <c r="X74" s="21">
        <f t="shared" si="49"/>
        <v>0</v>
      </c>
      <c r="Y74" s="21">
        <f t="shared" si="50"/>
        <v>3</v>
      </c>
    </row>
    <row r="75" spans="1:25" x14ac:dyDescent="0.25">
      <c r="A75" s="21" t="s">
        <v>377</v>
      </c>
      <c r="B75" s="21" t="s">
        <v>140</v>
      </c>
      <c r="C75" s="21" t="s">
        <v>238</v>
      </c>
      <c r="D75" s="21" t="s">
        <v>87</v>
      </c>
      <c r="E75" s="25">
        <v>46269</v>
      </c>
      <c r="F75" s="25">
        <v>46276</v>
      </c>
      <c r="G75" s="21">
        <v>6</v>
      </c>
      <c r="H75" s="21" t="s">
        <v>304</v>
      </c>
      <c r="I75" s="21" t="str">
        <f t="shared" si="34"/>
        <v>Direction</v>
      </c>
      <c r="J75" s="21" t="str">
        <f t="shared" si="35"/>
        <v>Goma</v>
      </c>
      <c r="K75" s="21">
        <f t="shared" si="36"/>
        <v>1</v>
      </c>
      <c r="L75" s="21">
        <f t="shared" si="37"/>
        <v>1</v>
      </c>
      <c r="M75" s="21">
        <f t="shared" si="38"/>
        <v>0</v>
      </c>
      <c r="N75" s="21">
        <f t="shared" si="39"/>
        <v>0</v>
      </c>
      <c r="O75" s="21">
        <f t="shared" si="40"/>
        <v>0</v>
      </c>
      <c r="P75" s="21">
        <f t="shared" si="41"/>
        <v>0</v>
      </c>
      <c r="Q75" s="21">
        <f t="shared" si="42"/>
        <v>0</v>
      </c>
      <c r="R75" s="21">
        <f t="shared" si="43"/>
        <v>0</v>
      </c>
      <c r="S75" s="21">
        <f t="shared" si="44"/>
        <v>0</v>
      </c>
      <c r="T75" s="21">
        <f t="shared" si="45"/>
        <v>0</v>
      </c>
      <c r="U75" s="21">
        <f t="shared" si="46"/>
        <v>6</v>
      </c>
      <c r="V75" s="21">
        <f t="shared" si="47"/>
        <v>0</v>
      </c>
      <c r="W75" s="21">
        <f t="shared" si="48"/>
        <v>0</v>
      </c>
      <c r="X75" s="21">
        <f t="shared" si="49"/>
        <v>0</v>
      </c>
      <c r="Y75" s="21">
        <f t="shared" si="50"/>
        <v>6</v>
      </c>
    </row>
    <row r="76" spans="1:25" x14ac:dyDescent="0.25">
      <c r="A76" s="21" t="s">
        <v>378</v>
      </c>
      <c r="B76" s="21" t="s">
        <v>185</v>
      </c>
      <c r="C76" s="21" t="s">
        <v>265</v>
      </c>
      <c r="D76" s="21" t="s">
        <v>87</v>
      </c>
      <c r="E76" s="25">
        <v>46273</v>
      </c>
      <c r="F76" s="25">
        <v>46286</v>
      </c>
      <c r="G76" s="21">
        <v>10</v>
      </c>
      <c r="H76" s="21" t="s">
        <v>304</v>
      </c>
      <c r="I76" s="21" t="str">
        <f t="shared" si="34"/>
        <v>Opérations techniques</v>
      </c>
      <c r="J76" s="21" t="str">
        <f t="shared" si="35"/>
        <v>Bukavu</v>
      </c>
      <c r="K76" s="21">
        <f t="shared" si="36"/>
        <v>1</v>
      </c>
      <c r="L76" s="21">
        <f t="shared" si="37"/>
        <v>1</v>
      </c>
      <c r="M76" s="21">
        <f t="shared" si="38"/>
        <v>0</v>
      </c>
      <c r="N76" s="21">
        <f t="shared" si="39"/>
        <v>0</v>
      </c>
      <c r="O76" s="21">
        <f t="shared" si="40"/>
        <v>0</v>
      </c>
      <c r="P76" s="21">
        <f t="shared" si="41"/>
        <v>0</v>
      </c>
      <c r="Q76" s="21">
        <f t="shared" si="42"/>
        <v>0</v>
      </c>
      <c r="R76" s="21">
        <f t="shared" si="43"/>
        <v>0</v>
      </c>
      <c r="S76" s="21">
        <f t="shared" si="44"/>
        <v>0</v>
      </c>
      <c r="T76" s="21">
        <f t="shared" si="45"/>
        <v>0</v>
      </c>
      <c r="U76" s="21">
        <f t="shared" si="46"/>
        <v>10</v>
      </c>
      <c r="V76" s="21">
        <f t="shared" si="47"/>
        <v>0</v>
      </c>
      <c r="W76" s="21">
        <f t="shared" si="48"/>
        <v>0</v>
      </c>
      <c r="X76" s="21">
        <f t="shared" si="49"/>
        <v>0</v>
      </c>
      <c r="Y76" s="21">
        <f t="shared" si="50"/>
        <v>10</v>
      </c>
    </row>
    <row r="77" spans="1:25" x14ac:dyDescent="0.25">
      <c r="A77" s="21" t="s">
        <v>379</v>
      </c>
      <c r="B77" s="21" t="s">
        <v>143</v>
      </c>
      <c r="C77" s="21" t="s">
        <v>240</v>
      </c>
      <c r="D77" s="21" t="s">
        <v>87</v>
      </c>
      <c r="E77" s="25">
        <v>46279</v>
      </c>
      <c r="F77" s="25">
        <v>46289</v>
      </c>
      <c r="G77" s="21">
        <v>9</v>
      </c>
      <c r="H77" s="21" t="s">
        <v>304</v>
      </c>
      <c r="I77" s="21" t="str">
        <f t="shared" si="34"/>
        <v>Direction</v>
      </c>
      <c r="J77" s="21" t="str">
        <f t="shared" si="35"/>
        <v>Goma</v>
      </c>
      <c r="K77" s="21">
        <f t="shared" si="36"/>
        <v>1</v>
      </c>
      <c r="L77" s="21">
        <f t="shared" si="37"/>
        <v>1</v>
      </c>
      <c r="M77" s="21">
        <f t="shared" si="38"/>
        <v>0</v>
      </c>
      <c r="N77" s="21">
        <f t="shared" si="39"/>
        <v>0</v>
      </c>
      <c r="O77" s="21">
        <f t="shared" si="40"/>
        <v>0</v>
      </c>
      <c r="P77" s="21">
        <f t="shared" si="41"/>
        <v>0</v>
      </c>
      <c r="Q77" s="21">
        <f t="shared" si="42"/>
        <v>0</v>
      </c>
      <c r="R77" s="21">
        <f t="shared" si="43"/>
        <v>0</v>
      </c>
      <c r="S77" s="21">
        <f t="shared" si="44"/>
        <v>0</v>
      </c>
      <c r="T77" s="21">
        <f t="shared" si="45"/>
        <v>0</v>
      </c>
      <c r="U77" s="21">
        <f t="shared" si="46"/>
        <v>9</v>
      </c>
      <c r="V77" s="21">
        <f t="shared" si="47"/>
        <v>0</v>
      </c>
      <c r="W77" s="21">
        <f t="shared" si="48"/>
        <v>0</v>
      </c>
      <c r="X77" s="21">
        <f t="shared" si="49"/>
        <v>0</v>
      </c>
      <c r="Y77" s="21">
        <f t="shared" si="50"/>
        <v>9</v>
      </c>
    </row>
    <row r="78" spans="1:25" x14ac:dyDescent="0.25">
      <c r="A78" s="21" t="s">
        <v>380</v>
      </c>
      <c r="B78" s="21" t="s">
        <v>207</v>
      </c>
      <c r="C78" s="21" t="s">
        <v>272</v>
      </c>
      <c r="D78" s="21" t="s">
        <v>87</v>
      </c>
      <c r="E78" s="25">
        <v>46279</v>
      </c>
      <c r="F78" s="25">
        <v>46290</v>
      </c>
      <c r="G78" s="21">
        <v>10</v>
      </c>
      <c r="H78" s="21" t="s">
        <v>304</v>
      </c>
      <c r="I78" s="21" t="str">
        <f t="shared" si="34"/>
        <v>Commercial et service client</v>
      </c>
      <c r="J78" s="21" t="str">
        <f t="shared" si="35"/>
        <v>Goma</v>
      </c>
      <c r="K78" s="21">
        <f t="shared" si="36"/>
        <v>1</v>
      </c>
      <c r="L78" s="21">
        <f t="shared" si="37"/>
        <v>1</v>
      </c>
      <c r="M78" s="21">
        <f t="shared" si="38"/>
        <v>0</v>
      </c>
      <c r="N78" s="21">
        <f t="shared" si="39"/>
        <v>0</v>
      </c>
      <c r="O78" s="21">
        <f t="shared" si="40"/>
        <v>0</v>
      </c>
      <c r="P78" s="21">
        <f t="shared" si="41"/>
        <v>0</v>
      </c>
      <c r="Q78" s="21">
        <f t="shared" si="42"/>
        <v>0</v>
      </c>
      <c r="R78" s="21">
        <f t="shared" si="43"/>
        <v>0</v>
      </c>
      <c r="S78" s="21">
        <f t="shared" si="44"/>
        <v>0</v>
      </c>
      <c r="T78" s="21">
        <f t="shared" si="45"/>
        <v>0</v>
      </c>
      <c r="U78" s="21">
        <f t="shared" si="46"/>
        <v>10</v>
      </c>
      <c r="V78" s="21">
        <f t="shared" si="47"/>
        <v>0</v>
      </c>
      <c r="W78" s="21">
        <f t="shared" si="48"/>
        <v>0</v>
      </c>
      <c r="X78" s="21">
        <f t="shared" si="49"/>
        <v>0</v>
      </c>
      <c r="Y78" s="21">
        <f t="shared" si="50"/>
        <v>10</v>
      </c>
    </row>
    <row r="79" spans="1:25" x14ac:dyDescent="0.25">
      <c r="A79" s="21" t="s">
        <v>381</v>
      </c>
      <c r="B79" s="21" t="s">
        <v>161</v>
      </c>
      <c r="C79" s="21" t="s">
        <v>250</v>
      </c>
      <c r="D79" s="21" t="s">
        <v>90</v>
      </c>
      <c r="E79" s="25">
        <v>46281</v>
      </c>
      <c r="F79" s="25">
        <v>46282</v>
      </c>
      <c r="G79" s="21">
        <v>2</v>
      </c>
      <c r="H79" s="21" t="s">
        <v>304</v>
      </c>
      <c r="I79" s="21" t="str">
        <f t="shared" si="34"/>
        <v>Finance</v>
      </c>
      <c r="J79" s="21" t="str">
        <f t="shared" si="35"/>
        <v>Bukavu</v>
      </c>
      <c r="K79" s="21">
        <f t="shared" si="36"/>
        <v>1</v>
      </c>
      <c r="L79" s="21">
        <f t="shared" si="37"/>
        <v>1</v>
      </c>
      <c r="M79" s="21">
        <f t="shared" si="38"/>
        <v>0</v>
      </c>
      <c r="N79" s="21">
        <f t="shared" si="39"/>
        <v>0</v>
      </c>
      <c r="O79" s="21">
        <f t="shared" si="40"/>
        <v>0</v>
      </c>
      <c r="P79" s="21">
        <f t="shared" si="41"/>
        <v>0</v>
      </c>
      <c r="Q79" s="21">
        <f t="shared" si="42"/>
        <v>0</v>
      </c>
      <c r="R79" s="21">
        <f t="shared" si="43"/>
        <v>0</v>
      </c>
      <c r="S79" s="21">
        <f t="shared" si="44"/>
        <v>0</v>
      </c>
      <c r="T79" s="21">
        <f t="shared" si="45"/>
        <v>0</v>
      </c>
      <c r="U79" s="21">
        <f t="shared" si="46"/>
        <v>2</v>
      </c>
      <c r="V79" s="21">
        <f t="shared" si="47"/>
        <v>0</v>
      </c>
      <c r="W79" s="21">
        <f t="shared" si="48"/>
        <v>0</v>
      </c>
      <c r="X79" s="21">
        <f t="shared" si="49"/>
        <v>0</v>
      </c>
      <c r="Y79" s="21">
        <f t="shared" si="50"/>
        <v>2</v>
      </c>
    </row>
    <row r="80" spans="1:25" x14ac:dyDescent="0.25">
      <c r="A80" s="21" t="s">
        <v>382</v>
      </c>
      <c r="B80" s="21" t="s">
        <v>163</v>
      </c>
      <c r="C80" s="21" t="s">
        <v>251</v>
      </c>
      <c r="D80" s="21" t="s">
        <v>87</v>
      </c>
      <c r="E80" s="25">
        <v>46282</v>
      </c>
      <c r="F80" s="25">
        <v>46294</v>
      </c>
      <c r="G80" s="21">
        <v>9</v>
      </c>
      <c r="H80" s="21" t="s">
        <v>304</v>
      </c>
      <c r="I80" s="21" t="str">
        <f t="shared" si="34"/>
        <v>Logistique</v>
      </c>
      <c r="J80" s="21" t="str">
        <f t="shared" si="35"/>
        <v>Goma</v>
      </c>
      <c r="K80" s="21">
        <f t="shared" si="36"/>
        <v>1</v>
      </c>
      <c r="L80" s="21">
        <f t="shared" si="37"/>
        <v>1</v>
      </c>
      <c r="M80" s="21">
        <f t="shared" si="38"/>
        <v>0</v>
      </c>
      <c r="N80" s="21">
        <f t="shared" si="39"/>
        <v>0</v>
      </c>
      <c r="O80" s="21">
        <f t="shared" si="40"/>
        <v>0</v>
      </c>
      <c r="P80" s="21">
        <f t="shared" si="41"/>
        <v>0</v>
      </c>
      <c r="Q80" s="21">
        <f t="shared" si="42"/>
        <v>0</v>
      </c>
      <c r="R80" s="21">
        <f t="shared" si="43"/>
        <v>0</v>
      </c>
      <c r="S80" s="21">
        <f t="shared" si="44"/>
        <v>0</v>
      </c>
      <c r="T80" s="21">
        <f t="shared" si="45"/>
        <v>0</v>
      </c>
      <c r="U80" s="21">
        <f t="shared" si="46"/>
        <v>9</v>
      </c>
      <c r="V80" s="21">
        <f t="shared" si="47"/>
        <v>0</v>
      </c>
      <c r="W80" s="21">
        <f t="shared" si="48"/>
        <v>0</v>
      </c>
      <c r="X80" s="21">
        <f t="shared" si="49"/>
        <v>0</v>
      </c>
      <c r="Y80" s="21">
        <f t="shared" si="50"/>
        <v>9</v>
      </c>
    </row>
    <row r="81" spans="1:25" x14ac:dyDescent="0.25">
      <c r="A81" s="21" t="s">
        <v>383</v>
      </c>
      <c r="B81" s="21" t="s">
        <v>191</v>
      </c>
      <c r="C81" s="21" t="s">
        <v>267</v>
      </c>
      <c r="D81" s="21" t="s">
        <v>90</v>
      </c>
      <c r="E81" s="25">
        <v>46282</v>
      </c>
      <c r="F81" s="25">
        <v>46283</v>
      </c>
      <c r="G81" s="21">
        <v>2</v>
      </c>
      <c r="H81" s="21" t="s">
        <v>304</v>
      </c>
      <c r="I81" s="21" t="str">
        <f t="shared" si="34"/>
        <v>Opérations techniques</v>
      </c>
      <c r="J81" s="21" t="str">
        <f t="shared" si="35"/>
        <v>Goma</v>
      </c>
      <c r="K81" s="21">
        <f t="shared" si="36"/>
        <v>1</v>
      </c>
      <c r="L81" s="21">
        <f t="shared" si="37"/>
        <v>1</v>
      </c>
      <c r="M81" s="21">
        <f t="shared" si="38"/>
        <v>0</v>
      </c>
      <c r="N81" s="21">
        <f t="shared" si="39"/>
        <v>0</v>
      </c>
      <c r="O81" s="21">
        <f t="shared" si="40"/>
        <v>0</v>
      </c>
      <c r="P81" s="21">
        <f t="shared" si="41"/>
        <v>0</v>
      </c>
      <c r="Q81" s="21">
        <f t="shared" si="42"/>
        <v>0</v>
      </c>
      <c r="R81" s="21">
        <f t="shared" si="43"/>
        <v>0</v>
      </c>
      <c r="S81" s="21">
        <f t="shared" si="44"/>
        <v>0</v>
      </c>
      <c r="T81" s="21">
        <f t="shared" si="45"/>
        <v>0</v>
      </c>
      <c r="U81" s="21">
        <f t="shared" si="46"/>
        <v>2</v>
      </c>
      <c r="V81" s="21">
        <f t="shared" si="47"/>
        <v>0</v>
      </c>
      <c r="W81" s="21">
        <f t="shared" si="48"/>
        <v>0</v>
      </c>
      <c r="X81" s="21">
        <f t="shared" si="49"/>
        <v>0</v>
      </c>
      <c r="Y81" s="21">
        <f t="shared" si="50"/>
        <v>2</v>
      </c>
    </row>
    <row r="82" spans="1:25" x14ac:dyDescent="0.25">
      <c r="A82" s="21" t="s">
        <v>384</v>
      </c>
      <c r="B82" s="21" t="s">
        <v>226</v>
      </c>
      <c r="C82" s="21" t="s">
        <v>283</v>
      </c>
      <c r="D82" s="21" t="s">
        <v>90</v>
      </c>
      <c r="E82" s="25">
        <v>46286</v>
      </c>
      <c r="F82" s="25">
        <v>46286</v>
      </c>
      <c r="G82" s="21">
        <v>1</v>
      </c>
      <c r="H82" s="21" t="s">
        <v>304</v>
      </c>
      <c r="I82" s="21" t="str">
        <f t="shared" si="34"/>
        <v>Services généraux</v>
      </c>
      <c r="J82" s="21" t="str">
        <f t="shared" si="35"/>
        <v>Goma</v>
      </c>
      <c r="K82" s="21">
        <f t="shared" si="36"/>
        <v>1</v>
      </c>
      <c r="L82" s="21">
        <f t="shared" si="37"/>
        <v>1</v>
      </c>
      <c r="M82" s="21">
        <f t="shared" si="38"/>
        <v>0</v>
      </c>
      <c r="N82" s="21">
        <f t="shared" si="39"/>
        <v>0</v>
      </c>
      <c r="O82" s="21">
        <f t="shared" si="40"/>
        <v>0</v>
      </c>
      <c r="P82" s="21">
        <f t="shared" si="41"/>
        <v>0</v>
      </c>
      <c r="Q82" s="21">
        <f t="shared" si="42"/>
        <v>0</v>
      </c>
      <c r="R82" s="21">
        <f t="shared" si="43"/>
        <v>0</v>
      </c>
      <c r="S82" s="21">
        <f t="shared" si="44"/>
        <v>0</v>
      </c>
      <c r="T82" s="21">
        <f t="shared" si="45"/>
        <v>0</v>
      </c>
      <c r="U82" s="21">
        <f t="shared" si="46"/>
        <v>1</v>
      </c>
      <c r="V82" s="21">
        <f t="shared" si="47"/>
        <v>0</v>
      </c>
      <c r="W82" s="21">
        <f t="shared" si="48"/>
        <v>0</v>
      </c>
      <c r="X82" s="21">
        <f t="shared" si="49"/>
        <v>0</v>
      </c>
      <c r="Y82" s="21">
        <f t="shared" si="50"/>
        <v>1</v>
      </c>
    </row>
    <row r="83" spans="1:25" x14ac:dyDescent="0.25">
      <c r="A83" s="21" t="s">
        <v>385</v>
      </c>
      <c r="B83" s="21" t="s">
        <v>226</v>
      </c>
      <c r="C83" s="21" t="s">
        <v>283</v>
      </c>
      <c r="D83" s="21" t="s">
        <v>90</v>
      </c>
      <c r="E83" s="25">
        <v>46289</v>
      </c>
      <c r="F83" s="25">
        <v>46293</v>
      </c>
      <c r="G83" s="21">
        <v>3</v>
      </c>
      <c r="H83" s="21" t="s">
        <v>304</v>
      </c>
      <c r="I83" s="21" t="str">
        <f t="shared" si="34"/>
        <v>Services généraux</v>
      </c>
      <c r="J83" s="21" t="str">
        <f t="shared" si="35"/>
        <v>Goma</v>
      </c>
      <c r="K83" s="21">
        <f t="shared" si="36"/>
        <v>1</v>
      </c>
      <c r="L83" s="21">
        <f t="shared" si="37"/>
        <v>1</v>
      </c>
      <c r="M83" s="21">
        <f t="shared" si="38"/>
        <v>0</v>
      </c>
      <c r="N83" s="21">
        <f t="shared" si="39"/>
        <v>0</v>
      </c>
      <c r="O83" s="21">
        <f t="shared" si="40"/>
        <v>0</v>
      </c>
      <c r="P83" s="21">
        <f t="shared" si="41"/>
        <v>0</v>
      </c>
      <c r="Q83" s="21">
        <f t="shared" si="42"/>
        <v>0</v>
      </c>
      <c r="R83" s="21">
        <f t="shared" si="43"/>
        <v>0</v>
      </c>
      <c r="S83" s="21">
        <f t="shared" si="44"/>
        <v>0</v>
      </c>
      <c r="T83" s="21">
        <f t="shared" si="45"/>
        <v>0</v>
      </c>
      <c r="U83" s="21">
        <f t="shared" si="46"/>
        <v>3</v>
      </c>
      <c r="V83" s="21">
        <f t="shared" si="47"/>
        <v>0</v>
      </c>
      <c r="W83" s="21">
        <f t="shared" si="48"/>
        <v>0</v>
      </c>
      <c r="X83" s="21">
        <f t="shared" si="49"/>
        <v>0</v>
      </c>
      <c r="Y83" s="21">
        <f t="shared" si="50"/>
        <v>3</v>
      </c>
    </row>
    <row r="84" spans="1:25" x14ac:dyDescent="0.25">
      <c r="A84" s="21" t="s">
        <v>386</v>
      </c>
      <c r="B84" s="21" t="s">
        <v>140</v>
      </c>
      <c r="C84" s="21" t="s">
        <v>238</v>
      </c>
      <c r="D84" s="21" t="s">
        <v>87</v>
      </c>
      <c r="E84" s="25">
        <v>46290</v>
      </c>
      <c r="F84" s="25">
        <v>46296</v>
      </c>
      <c r="G84" s="21">
        <v>5</v>
      </c>
      <c r="H84" s="21" t="s">
        <v>304</v>
      </c>
      <c r="I84" s="21" t="str">
        <f t="shared" si="34"/>
        <v>Direction</v>
      </c>
      <c r="J84" s="21" t="str">
        <f t="shared" si="35"/>
        <v>Goma</v>
      </c>
      <c r="K84" s="21">
        <f t="shared" si="36"/>
        <v>1</v>
      </c>
      <c r="L84" s="21">
        <f t="shared" si="37"/>
        <v>1</v>
      </c>
      <c r="M84" s="21">
        <f t="shared" si="38"/>
        <v>0</v>
      </c>
      <c r="N84" s="21">
        <f t="shared" si="39"/>
        <v>0</v>
      </c>
      <c r="O84" s="21">
        <f t="shared" si="40"/>
        <v>0</v>
      </c>
      <c r="P84" s="21">
        <f t="shared" si="41"/>
        <v>0</v>
      </c>
      <c r="Q84" s="21">
        <f t="shared" si="42"/>
        <v>0</v>
      </c>
      <c r="R84" s="21">
        <f t="shared" si="43"/>
        <v>0</v>
      </c>
      <c r="S84" s="21">
        <f t="shared" si="44"/>
        <v>0</v>
      </c>
      <c r="T84" s="21">
        <f t="shared" si="45"/>
        <v>0</v>
      </c>
      <c r="U84" s="21">
        <f t="shared" si="46"/>
        <v>4</v>
      </c>
      <c r="V84" s="21">
        <f t="shared" si="47"/>
        <v>1</v>
      </c>
      <c r="W84" s="21">
        <f t="shared" si="48"/>
        <v>0</v>
      </c>
      <c r="X84" s="21">
        <f t="shared" si="49"/>
        <v>0</v>
      </c>
      <c r="Y84" s="21">
        <f t="shared" si="50"/>
        <v>5</v>
      </c>
    </row>
    <row r="85" spans="1:25" x14ac:dyDescent="0.25">
      <c r="A85" s="21" t="s">
        <v>387</v>
      </c>
      <c r="B85" s="21" t="s">
        <v>143</v>
      </c>
      <c r="C85" s="21" t="s">
        <v>240</v>
      </c>
      <c r="D85" s="21" t="s">
        <v>88</v>
      </c>
      <c r="E85" s="25">
        <v>46290</v>
      </c>
      <c r="F85" s="25">
        <v>46293</v>
      </c>
      <c r="G85" s="21">
        <v>2</v>
      </c>
      <c r="H85" s="21" t="s">
        <v>304</v>
      </c>
      <c r="I85" s="21" t="str">
        <f t="shared" si="34"/>
        <v>Direction</v>
      </c>
      <c r="J85" s="21" t="str">
        <f t="shared" si="35"/>
        <v>Goma</v>
      </c>
      <c r="K85" s="21">
        <f t="shared" si="36"/>
        <v>1</v>
      </c>
      <c r="L85" s="21">
        <f t="shared" si="37"/>
        <v>1</v>
      </c>
      <c r="M85" s="21">
        <f t="shared" si="38"/>
        <v>0</v>
      </c>
      <c r="N85" s="21">
        <f t="shared" si="39"/>
        <v>0</v>
      </c>
      <c r="O85" s="21">
        <f t="shared" si="40"/>
        <v>0</v>
      </c>
      <c r="P85" s="21">
        <f t="shared" si="41"/>
        <v>0</v>
      </c>
      <c r="Q85" s="21">
        <f t="shared" si="42"/>
        <v>0</v>
      </c>
      <c r="R85" s="21">
        <f t="shared" si="43"/>
        <v>0</v>
      </c>
      <c r="S85" s="21">
        <f t="shared" si="44"/>
        <v>0</v>
      </c>
      <c r="T85" s="21">
        <f t="shared" si="45"/>
        <v>0</v>
      </c>
      <c r="U85" s="21">
        <f t="shared" si="46"/>
        <v>2</v>
      </c>
      <c r="V85" s="21">
        <f t="shared" si="47"/>
        <v>0</v>
      </c>
      <c r="W85" s="21">
        <f t="shared" si="48"/>
        <v>0</v>
      </c>
      <c r="X85" s="21">
        <f t="shared" si="49"/>
        <v>0</v>
      </c>
      <c r="Y85" s="21">
        <f t="shared" si="50"/>
        <v>2</v>
      </c>
    </row>
    <row r="86" spans="1:25" x14ac:dyDescent="0.25">
      <c r="A86" s="21" t="s">
        <v>388</v>
      </c>
      <c r="B86" s="21" t="s">
        <v>177</v>
      </c>
      <c r="C86" s="21" t="s">
        <v>259</v>
      </c>
      <c r="D86" s="21" t="s">
        <v>87</v>
      </c>
      <c r="E86" s="25">
        <v>46294</v>
      </c>
      <c r="F86" s="25">
        <v>46303</v>
      </c>
      <c r="G86" s="21">
        <v>8</v>
      </c>
      <c r="H86" s="21" t="s">
        <v>304</v>
      </c>
      <c r="I86" s="21" t="str">
        <f t="shared" si="34"/>
        <v>Logistique</v>
      </c>
      <c r="J86" s="21" t="str">
        <f t="shared" si="35"/>
        <v>Goma</v>
      </c>
      <c r="K86" s="21">
        <f t="shared" si="36"/>
        <v>1</v>
      </c>
      <c r="L86" s="21">
        <f t="shared" si="37"/>
        <v>1</v>
      </c>
      <c r="M86" s="21">
        <f t="shared" si="38"/>
        <v>0</v>
      </c>
      <c r="N86" s="21">
        <f t="shared" si="39"/>
        <v>0</v>
      </c>
      <c r="O86" s="21">
        <f t="shared" si="40"/>
        <v>0</v>
      </c>
      <c r="P86" s="21">
        <f t="shared" si="41"/>
        <v>0</v>
      </c>
      <c r="Q86" s="21">
        <f t="shared" si="42"/>
        <v>0</v>
      </c>
      <c r="R86" s="21">
        <f t="shared" si="43"/>
        <v>0</v>
      </c>
      <c r="S86" s="21">
        <f t="shared" si="44"/>
        <v>0</v>
      </c>
      <c r="T86" s="21">
        <f t="shared" si="45"/>
        <v>0</v>
      </c>
      <c r="U86" s="21">
        <f t="shared" si="46"/>
        <v>2</v>
      </c>
      <c r="V86" s="21">
        <f t="shared" si="47"/>
        <v>6</v>
      </c>
      <c r="W86" s="21">
        <f t="shared" si="48"/>
        <v>0</v>
      </c>
      <c r="X86" s="21">
        <f t="shared" si="49"/>
        <v>0</v>
      </c>
      <c r="Y86" s="21">
        <f t="shared" si="50"/>
        <v>8</v>
      </c>
    </row>
    <row r="87" spans="1:25" x14ac:dyDescent="0.25">
      <c r="A87" s="21" t="s">
        <v>389</v>
      </c>
      <c r="B87" s="21" t="s">
        <v>180</v>
      </c>
      <c r="C87" s="21" t="s">
        <v>261</v>
      </c>
      <c r="D87" s="21" t="s">
        <v>87</v>
      </c>
      <c r="E87" s="25">
        <v>46295</v>
      </c>
      <c r="F87" s="25">
        <v>46309</v>
      </c>
      <c r="G87" s="21">
        <v>11</v>
      </c>
      <c r="H87" s="21" t="s">
        <v>304</v>
      </c>
      <c r="I87" s="21" t="str">
        <f t="shared" si="34"/>
        <v>Opérations techniques</v>
      </c>
      <c r="J87" s="21" t="str">
        <f t="shared" si="35"/>
        <v>Goma</v>
      </c>
      <c r="K87" s="21">
        <f t="shared" si="36"/>
        <v>1</v>
      </c>
      <c r="L87" s="21">
        <f t="shared" si="37"/>
        <v>1</v>
      </c>
      <c r="M87" s="21">
        <f t="shared" si="38"/>
        <v>0</v>
      </c>
      <c r="N87" s="21">
        <f t="shared" si="39"/>
        <v>0</v>
      </c>
      <c r="O87" s="21">
        <f t="shared" si="40"/>
        <v>0</v>
      </c>
      <c r="P87" s="21">
        <f t="shared" si="41"/>
        <v>0</v>
      </c>
      <c r="Q87" s="21">
        <f t="shared" si="42"/>
        <v>0</v>
      </c>
      <c r="R87" s="21">
        <f t="shared" si="43"/>
        <v>0</v>
      </c>
      <c r="S87" s="21">
        <f t="shared" si="44"/>
        <v>0</v>
      </c>
      <c r="T87" s="21">
        <f t="shared" si="45"/>
        <v>0</v>
      </c>
      <c r="U87" s="21">
        <f t="shared" si="46"/>
        <v>1</v>
      </c>
      <c r="V87" s="21">
        <f t="shared" si="47"/>
        <v>10</v>
      </c>
      <c r="W87" s="21">
        <f t="shared" si="48"/>
        <v>0</v>
      </c>
      <c r="X87" s="21">
        <f t="shared" si="49"/>
        <v>0</v>
      </c>
      <c r="Y87" s="21">
        <f t="shared" si="50"/>
        <v>11</v>
      </c>
    </row>
    <row r="88" spans="1:25" x14ac:dyDescent="0.25">
      <c r="A88" s="21" t="s">
        <v>390</v>
      </c>
      <c r="B88" s="21" t="s">
        <v>185</v>
      </c>
      <c r="C88" s="21" t="s">
        <v>265</v>
      </c>
      <c r="D88" s="21" t="s">
        <v>87</v>
      </c>
      <c r="E88" s="25">
        <v>46296</v>
      </c>
      <c r="F88" s="25">
        <v>46311</v>
      </c>
      <c r="G88" s="21">
        <v>12</v>
      </c>
      <c r="H88" s="21" t="s">
        <v>304</v>
      </c>
      <c r="I88" s="21" t="str">
        <f t="shared" si="34"/>
        <v>Opérations techniques</v>
      </c>
      <c r="J88" s="21" t="str">
        <f t="shared" si="35"/>
        <v>Bukavu</v>
      </c>
      <c r="K88" s="21">
        <f t="shared" si="36"/>
        <v>1</v>
      </c>
      <c r="L88" s="21">
        <f t="shared" si="37"/>
        <v>1</v>
      </c>
      <c r="M88" s="21">
        <f t="shared" si="38"/>
        <v>0</v>
      </c>
      <c r="N88" s="21">
        <f t="shared" si="39"/>
        <v>0</v>
      </c>
      <c r="O88" s="21">
        <f t="shared" si="40"/>
        <v>0</v>
      </c>
      <c r="P88" s="21">
        <f t="shared" si="41"/>
        <v>0</v>
      </c>
      <c r="Q88" s="21">
        <f t="shared" si="42"/>
        <v>0</v>
      </c>
      <c r="R88" s="21">
        <f t="shared" si="43"/>
        <v>0</v>
      </c>
      <c r="S88" s="21">
        <f t="shared" si="44"/>
        <v>0</v>
      </c>
      <c r="T88" s="21">
        <f t="shared" si="45"/>
        <v>0</v>
      </c>
      <c r="U88" s="21">
        <f t="shared" si="46"/>
        <v>0</v>
      </c>
      <c r="V88" s="21">
        <f t="shared" si="47"/>
        <v>12</v>
      </c>
      <c r="W88" s="21">
        <f t="shared" si="48"/>
        <v>0</v>
      </c>
      <c r="X88" s="21">
        <f t="shared" si="49"/>
        <v>0</v>
      </c>
      <c r="Y88" s="21">
        <f t="shared" si="50"/>
        <v>12</v>
      </c>
    </row>
    <row r="89" spans="1:25" x14ac:dyDescent="0.25">
      <c r="A89" s="21" t="s">
        <v>391</v>
      </c>
      <c r="B89" s="21" t="s">
        <v>221</v>
      </c>
      <c r="C89" s="21" t="s">
        <v>280</v>
      </c>
      <c r="D89" s="21" t="s">
        <v>87</v>
      </c>
      <c r="E89" s="25">
        <v>46296</v>
      </c>
      <c r="F89" s="25">
        <v>46310</v>
      </c>
      <c r="G89" s="21">
        <v>11</v>
      </c>
      <c r="H89" s="21" t="s">
        <v>304</v>
      </c>
      <c r="I89" s="21" t="str">
        <f t="shared" si="34"/>
        <v>Commercial et service client</v>
      </c>
      <c r="J89" s="21" t="str">
        <f t="shared" si="35"/>
        <v>Goma</v>
      </c>
      <c r="K89" s="21">
        <f t="shared" si="36"/>
        <v>1</v>
      </c>
      <c r="L89" s="21">
        <f t="shared" si="37"/>
        <v>1</v>
      </c>
      <c r="M89" s="21">
        <f t="shared" si="38"/>
        <v>0</v>
      </c>
      <c r="N89" s="21">
        <f t="shared" si="39"/>
        <v>0</v>
      </c>
      <c r="O89" s="21">
        <f t="shared" si="40"/>
        <v>0</v>
      </c>
      <c r="P89" s="21">
        <f t="shared" si="41"/>
        <v>0</v>
      </c>
      <c r="Q89" s="21">
        <f t="shared" si="42"/>
        <v>0</v>
      </c>
      <c r="R89" s="21">
        <f t="shared" si="43"/>
        <v>0</v>
      </c>
      <c r="S89" s="21">
        <f t="shared" si="44"/>
        <v>0</v>
      </c>
      <c r="T89" s="21">
        <f t="shared" si="45"/>
        <v>0</v>
      </c>
      <c r="U89" s="21">
        <f t="shared" si="46"/>
        <v>0</v>
      </c>
      <c r="V89" s="21">
        <f t="shared" si="47"/>
        <v>11</v>
      </c>
      <c r="W89" s="21">
        <f t="shared" si="48"/>
        <v>0</v>
      </c>
      <c r="X89" s="21">
        <f t="shared" si="49"/>
        <v>0</v>
      </c>
      <c r="Y89" s="21">
        <f t="shared" si="50"/>
        <v>11</v>
      </c>
    </row>
    <row r="90" spans="1:25" x14ac:dyDescent="0.25">
      <c r="A90" s="21" t="s">
        <v>392</v>
      </c>
      <c r="B90" s="21" t="s">
        <v>223</v>
      </c>
      <c r="C90" s="21" t="s">
        <v>281</v>
      </c>
      <c r="D90" s="21" t="s">
        <v>87</v>
      </c>
      <c r="E90" s="25">
        <v>46300</v>
      </c>
      <c r="F90" s="25">
        <v>46308</v>
      </c>
      <c r="G90" s="21">
        <v>7</v>
      </c>
      <c r="H90" s="21" t="s">
        <v>304</v>
      </c>
      <c r="I90" s="21" t="str">
        <f t="shared" si="34"/>
        <v>Informatique</v>
      </c>
      <c r="J90" s="21" t="str">
        <f t="shared" si="35"/>
        <v>Goma</v>
      </c>
      <c r="K90" s="21">
        <f t="shared" si="36"/>
        <v>1</v>
      </c>
      <c r="L90" s="21">
        <f t="shared" si="37"/>
        <v>1</v>
      </c>
      <c r="M90" s="21">
        <f t="shared" si="38"/>
        <v>0</v>
      </c>
      <c r="N90" s="21">
        <f t="shared" si="39"/>
        <v>0</v>
      </c>
      <c r="O90" s="21">
        <f t="shared" si="40"/>
        <v>0</v>
      </c>
      <c r="P90" s="21">
        <f t="shared" si="41"/>
        <v>0</v>
      </c>
      <c r="Q90" s="21">
        <f t="shared" si="42"/>
        <v>0</v>
      </c>
      <c r="R90" s="21">
        <f t="shared" si="43"/>
        <v>0</v>
      </c>
      <c r="S90" s="21">
        <f t="shared" si="44"/>
        <v>0</v>
      </c>
      <c r="T90" s="21">
        <f t="shared" si="45"/>
        <v>0</v>
      </c>
      <c r="U90" s="21">
        <f t="shared" si="46"/>
        <v>0</v>
      </c>
      <c r="V90" s="21">
        <f t="shared" si="47"/>
        <v>7</v>
      </c>
      <c r="W90" s="21">
        <f t="shared" si="48"/>
        <v>0</v>
      </c>
      <c r="X90" s="21">
        <f t="shared" si="49"/>
        <v>0</v>
      </c>
      <c r="Y90" s="21">
        <f t="shared" si="50"/>
        <v>7</v>
      </c>
    </row>
    <row r="91" spans="1:25" x14ac:dyDescent="0.25">
      <c r="A91" s="21" t="s">
        <v>393</v>
      </c>
      <c r="B91" s="21" t="s">
        <v>173</v>
      </c>
      <c r="C91" s="21" t="s">
        <v>258</v>
      </c>
      <c r="D91" s="21" t="s">
        <v>87</v>
      </c>
      <c r="E91" s="25">
        <v>46301</v>
      </c>
      <c r="F91" s="25">
        <v>46307</v>
      </c>
      <c r="G91" s="21">
        <v>5</v>
      </c>
      <c r="H91" s="21" t="s">
        <v>304</v>
      </c>
      <c r="I91" s="21" t="str">
        <f t="shared" si="34"/>
        <v>Logistique</v>
      </c>
      <c r="J91" s="21" t="str">
        <f t="shared" si="35"/>
        <v>Beni</v>
      </c>
      <c r="K91" s="21">
        <f t="shared" si="36"/>
        <v>1</v>
      </c>
      <c r="L91" s="21">
        <f t="shared" si="37"/>
        <v>1</v>
      </c>
      <c r="M91" s="21">
        <f t="shared" si="38"/>
        <v>0</v>
      </c>
      <c r="N91" s="21">
        <f t="shared" si="39"/>
        <v>0</v>
      </c>
      <c r="O91" s="21">
        <f t="shared" si="40"/>
        <v>0</v>
      </c>
      <c r="P91" s="21">
        <f t="shared" si="41"/>
        <v>0</v>
      </c>
      <c r="Q91" s="21">
        <f t="shared" si="42"/>
        <v>0</v>
      </c>
      <c r="R91" s="21">
        <f t="shared" si="43"/>
        <v>0</v>
      </c>
      <c r="S91" s="21">
        <f t="shared" si="44"/>
        <v>0</v>
      </c>
      <c r="T91" s="21">
        <f t="shared" si="45"/>
        <v>0</v>
      </c>
      <c r="U91" s="21">
        <f t="shared" si="46"/>
        <v>0</v>
      </c>
      <c r="V91" s="21">
        <f t="shared" si="47"/>
        <v>5</v>
      </c>
      <c r="W91" s="21">
        <f t="shared" si="48"/>
        <v>0</v>
      </c>
      <c r="X91" s="21">
        <f t="shared" si="49"/>
        <v>0</v>
      </c>
      <c r="Y91" s="21">
        <f t="shared" si="50"/>
        <v>5</v>
      </c>
    </row>
    <row r="92" spans="1:25" x14ac:dyDescent="0.25">
      <c r="A92" s="21" t="s">
        <v>394</v>
      </c>
      <c r="B92" s="21" t="s">
        <v>143</v>
      </c>
      <c r="C92" s="21" t="s">
        <v>240</v>
      </c>
      <c r="D92" s="21" t="s">
        <v>87</v>
      </c>
      <c r="E92" s="25">
        <v>46302</v>
      </c>
      <c r="F92" s="25">
        <v>46309</v>
      </c>
      <c r="G92" s="21">
        <v>6</v>
      </c>
      <c r="H92" s="21" t="s">
        <v>304</v>
      </c>
      <c r="I92" s="21" t="str">
        <f t="shared" si="34"/>
        <v>Direction</v>
      </c>
      <c r="J92" s="21" t="str">
        <f t="shared" si="35"/>
        <v>Goma</v>
      </c>
      <c r="K92" s="21">
        <f t="shared" si="36"/>
        <v>1</v>
      </c>
      <c r="L92" s="21">
        <f t="shared" si="37"/>
        <v>1</v>
      </c>
      <c r="M92" s="21">
        <f t="shared" si="38"/>
        <v>0</v>
      </c>
      <c r="N92" s="21">
        <f t="shared" si="39"/>
        <v>0</v>
      </c>
      <c r="O92" s="21">
        <f t="shared" si="40"/>
        <v>0</v>
      </c>
      <c r="P92" s="21">
        <f t="shared" si="41"/>
        <v>0</v>
      </c>
      <c r="Q92" s="21">
        <f t="shared" si="42"/>
        <v>0</v>
      </c>
      <c r="R92" s="21">
        <f t="shared" si="43"/>
        <v>0</v>
      </c>
      <c r="S92" s="21">
        <f t="shared" si="44"/>
        <v>0</v>
      </c>
      <c r="T92" s="21">
        <f t="shared" si="45"/>
        <v>0</v>
      </c>
      <c r="U92" s="21">
        <f t="shared" si="46"/>
        <v>0</v>
      </c>
      <c r="V92" s="21">
        <f t="shared" si="47"/>
        <v>6</v>
      </c>
      <c r="W92" s="21">
        <f t="shared" si="48"/>
        <v>0</v>
      </c>
      <c r="X92" s="21">
        <f t="shared" si="49"/>
        <v>0</v>
      </c>
      <c r="Y92" s="21">
        <f t="shared" si="50"/>
        <v>6</v>
      </c>
    </row>
    <row r="93" spans="1:25" x14ac:dyDescent="0.25">
      <c r="A93" s="21" t="s">
        <v>395</v>
      </c>
      <c r="B93" s="21" t="s">
        <v>155</v>
      </c>
      <c r="C93" s="21" t="s">
        <v>246</v>
      </c>
      <c r="D93" s="21" t="s">
        <v>88</v>
      </c>
      <c r="E93" s="25">
        <v>46302</v>
      </c>
      <c r="F93" s="25">
        <v>46304</v>
      </c>
      <c r="G93" s="21">
        <v>3</v>
      </c>
      <c r="H93" s="21" t="s">
        <v>304</v>
      </c>
      <c r="I93" s="21" t="str">
        <f t="shared" si="34"/>
        <v>Finance</v>
      </c>
      <c r="J93" s="21" t="str">
        <f t="shared" si="35"/>
        <v>Goma</v>
      </c>
      <c r="K93" s="21">
        <f t="shared" si="36"/>
        <v>1</v>
      </c>
      <c r="L93" s="21">
        <f t="shared" si="37"/>
        <v>1</v>
      </c>
      <c r="M93" s="21">
        <f t="shared" si="38"/>
        <v>0</v>
      </c>
      <c r="N93" s="21">
        <f t="shared" si="39"/>
        <v>0</v>
      </c>
      <c r="O93" s="21">
        <f t="shared" si="40"/>
        <v>0</v>
      </c>
      <c r="P93" s="21">
        <f t="shared" si="41"/>
        <v>0</v>
      </c>
      <c r="Q93" s="21">
        <f t="shared" si="42"/>
        <v>0</v>
      </c>
      <c r="R93" s="21">
        <f t="shared" si="43"/>
        <v>0</v>
      </c>
      <c r="S93" s="21">
        <f t="shared" si="44"/>
        <v>0</v>
      </c>
      <c r="T93" s="21">
        <f t="shared" si="45"/>
        <v>0</v>
      </c>
      <c r="U93" s="21">
        <f t="shared" si="46"/>
        <v>0</v>
      </c>
      <c r="V93" s="21">
        <f t="shared" si="47"/>
        <v>3</v>
      </c>
      <c r="W93" s="21">
        <f t="shared" si="48"/>
        <v>0</v>
      </c>
      <c r="X93" s="21">
        <f t="shared" si="49"/>
        <v>0</v>
      </c>
      <c r="Y93" s="21">
        <f t="shared" si="50"/>
        <v>3</v>
      </c>
    </row>
    <row r="94" spans="1:25" x14ac:dyDescent="0.25">
      <c r="A94" s="21" t="s">
        <v>396</v>
      </c>
      <c r="B94" s="21" t="s">
        <v>187</v>
      </c>
      <c r="C94" s="21" t="s">
        <v>266</v>
      </c>
      <c r="D94" s="21" t="s">
        <v>87</v>
      </c>
      <c r="E94" s="25">
        <v>46302</v>
      </c>
      <c r="F94" s="25">
        <v>46316</v>
      </c>
      <c r="G94" s="21">
        <v>11</v>
      </c>
      <c r="H94" s="21" t="s">
        <v>304</v>
      </c>
      <c r="I94" s="21" t="str">
        <f t="shared" si="34"/>
        <v>Opérations techniques</v>
      </c>
      <c r="J94" s="21" t="str">
        <f t="shared" si="35"/>
        <v>Goma</v>
      </c>
      <c r="K94" s="21">
        <f t="shared" si="36"/>
        <v>1</v>
      </c>
      <c r="L94" s="21">
        <f t="shared" si="37"/>
        <v>1</v>
      </c>
      <c r="M94" s="21">
        <f t="shared" si="38"/>
        <v>0</v>
      </c>
      <c r="N94" s="21">
        <f t="shared" si="39"/>
        <v>0</v>
      </c>
      <c r="O94" s="21">
        <f t="shared" si="40"/>
        <v>0</v>
      </c>
      <c r="P94" s="21">
        <f t="shared" si="41"/>
        <v>0</v>
      </c>
      <c r="Q94" s="21">
        <f t="shared" si="42"/>
        <v>0</v>
      </c>
      <c r="R94" s="21">
        <f t="shared" si="43"/>
        <v>0</v>
      </c>
      <c r="S94" s="21">
        <f t="shared" si="44"/>
        <v>0</v>
      </c>
      <c r="T94" s="21">
        <f t="shared" si="45"/>
        <v>0</v>
      </c>
      <c r="U94" s="21">
        <f t="shared" si="46"/>
        <v>0</v>
      </c>
      <c r="V94" s="21">
        <f t="shared" si="47"/>
        <v>11</v>
      </c>
      <c r="W94" s="21">
        <f t="shared" si="48"/>
        <v>0</v>
      </c>
      <c r="X94" s="21">
        <f t="shared" si="49"/>
        <v>0</v>
      </c>
      <c r="Y94" s="21">
        <f t="shared" si="50"/>
        <v>11</v>
      </c>
    </row>
    <row r="95" spans="1:25" x14ac:dyDescent="0.25">
      <c r="A95" s="21" t="s">
        <v>397</v>
      </c>
      <c r="B95" s="21" t="s">
        <v>170</v>
      </c>
      <c r="C95" s="21" t="s">
        <v>257</v>
      </c>
      <c r="D95" s="21" t="s">
        <v>90</v>
      </c>
      <c r="E95" s="25">
        <v>46303</v>
      </c>
      <c r="F95" s="25">
        <v>46303</v>
      </c>
      <c r="G95" s="21">
        <v>1</v>
      </c>
      <c r="H95" s="21" t="s">
        <v>304</v>
      </c>
      <c r="I95" s="21" t="str">
        <f t="shared" si="34"/>
        <v>Logistique</v>
      </c>
      <c r="J95" s="21" t="str">
        <f t="shared" si="35"/>
        <v>Bukavu</v>
      </c>
      <c r="K95" s="21">
        <f t="shared" si="36"/>
        <v>1</v>
      </c>
      <c r="L95" s="21">
        <f t="shared" si="37"/>
        <v>1</v>
      </c>
      <c r="M95" s="21">
        <f t="shared" si="38"/>
        <v>0</v>
      </c>
      <c r="N95" s="21">
        <f t="shared" si="39"/>
        <v>0</v>
      </c>
      <c r="O95" s="21">
        <f t="shared" si="40"/>
        <v>0</v>
      </c>
      <c r="P95" s="21">
        <f t="shared" si="41"/>
        <v>0</v>
      </c>
      <c r="Q95" s="21">
        <f t="shared" si="42"/>
        <v>0</v>
      </c>
      <c r="R95" s="21">
        <f t="shared" si="43"/>
        <v>0</v>
      </c>
      <c r="S95" s="21">
        <f t="shared" si="44"/>
        <v>0</v>
      </c>
      <c r="T95" s="21">
        <f t="shared" si="45"/>
        <v>0</v>
      </c>
      <c r="U95" s="21">
        <f t="shared" si="46"/>
        <v>0</v>
      </c>
      <c r="V95" s="21">
        <f t="shared" si="47"/>
        <v>1</v>
      </c>
      <c r="W95" s="21">
        <f t="shared" si="48"/>
        <v>0</v>
      </c>
      <c r="X95" s="21">
        <f t="shared" si="49"/>
        <v>0</v>
      </c>
      <c r="Y95" s="21">
        <f t="shared" si="50"/>
        <v>1</v>
      </c>
    </row>
    <row r="96" spans="1:25" x14ac:dyDescent="0.25">
      <c r="A96" s="21" t="s">
        <v>398</v>
      </c>
      <c r="B96" s="21" t="s">
        <v>201</v>
      </c>
      <c r="C96" s="21" t="s">
        <v>270</v>
      </c>
      <c r="D96" s="21" t="s">
        <v>87</v>
      </c>
      <c r="E96" s="25">
        <v>46310</v>
      </c>
      <c r="F96" s="25">
        <v>46317</v>
      </c>
      <c r="G96" s="21">
        <v>6</v>
      </c>
      <c r="H96" s="21" t="s">
        <v>304</v>
      </c>
      <c r="I96" s="21" t="str">
        <f t="shared" si="34"/>
        <v>Opérations techniques</v>
      </c>
      <c r="J96" s="21" t="str">
        <f t="shared" si="35"/>
        <v>Goma</v>
      </c>
      <c r="K96" s="21">
        <f t="shared" si="36"/>
        <v>1</v>
      </c>
      <c r="L96" s="21">
        <f t="shared" si="37"/>
        <v>1</v>
      </c>
      <c r="M96" s="21">
        <f t="shared" si="38"/>
        <v>0</v>
      </c>
      <c r="N96" s="21">
        <f t="shared" si="39"/>
        <v>0</v>
      </c>
      <c r="O96" s="21">
        <f t="shared" si="40"/>
        <v>0</v>
      </c>
      <c r="P96" s="21">
        <f t="shared" si="41"/>
        <v>0</v>
      </c>
      <c r="Q96" s="21">
        <f t="shared" si="42"/>
        <v>0</v>
      </c>
      <c r="R96" s="21">
        <f t="shared" si="43"/>
        <v>0</v>
      </c>
      <c r="S96" s="21">
        <f t="shared" si="44"/>
        <v>0</v>
      </c>
      <c r="T96" s="21">
        <f t="shared" si="45"/>
        <v>0</v>
      </c>
      <c r="U96" s="21">
        <f t="shared" si="46"/>
        <v>0</v>
      </c>
      <c r="V96" s="21">
        <f t="shared" si="47"/>
        <v>6</v>
      </c>
      <c r="W96" s="21">
        <f t="shared" si="48"/>
        <v>0</v>
      </c>
      <c r="X96" s="21">
        <f t="shared" si="49"/>
        <v>0</v>
      </c>
      <c r="Y96" s="21">
        <f t="shared" si="50"/>
        <v>6</v>
      </c>
    </row>
    <row r="97" spans="1:25" x14ac:dyDescent="0.25">
      <c r="A97" s="21" t="s">
        <v>399</v>
      </c>
      <c r="B97" s="21" t="s">
        <v>212</v>
      </c>
      <c r="C97" s="21" t="s">
        <v>276</v>
      </c>
      <c r="D97" s="21" t="s">
        <v>87</v>
      </c>
      <c r="E97" s="25">
        <v>46310</v>
      </c>
      <c r="F97" s="25">
        <v>46323</v>
      </c>
      <c r="G97" s="21">
        <v>10</v>
      </c>
      <c r="H97" s="21" t="s">
        <v>304</v>
      </c>
      <c r="I97" s="21" t="str">
        <f t="shared" si="34"/>
        <v>Commercial et service client</v>
      </c>
      <c r="J97" s="21" t="str">
        <f t="shared" si="35"/>
        <v>Bukavu</v>
      </c>
      <c r="K97" s="21">
        <f t="shared" si="36"/>
        <v>1</v>
      </c>
      <c r="L97" s="21">
        <f t="shared" si="37"/>
        <v>1</v>
      </c>
      <c r="M97" s="21">
        <f t="shared" si="38"/>
        <v>0</v>
      </c>
      <c r="N97" s="21">
        <f t="shared" si="39"/>
        <v>0</v>
      </c>
      <c r="O97" s="21">
        <f t="shared" si="40"/>
        <v>0</v>
      </c>
      <c r="P97" s="21">
        <f t="shared" si="41"/>
        <v>0</v>
      </c>
      <c r="Q97" s="21">
        <f t="shared" si="42"/>
        <v>0</v>
      </c>
      <c r="R97" s="21">
        <f t="shared" si="43"/>
        <v>0</v>
      </c>
      <c r="S97" s="21">
        <f t="shared" si="44"/>
        <v>0</v>
      </c>
      <c r="T97" s="21">
        <f t="shared" si="45"/>
        <v>0</v>
      </c>
      <c r="U97" s="21">
        <f t="shared" si="46"/>
        <v>0</v>
      </c>
      <c r="V97" s="21">
        <f t="shared" si="47"/>
        <v>10</v>
      </c>
      <c r="W97" s="21">
        <f t="shared" si="48"/>
        <v>0</v>
      </c>
      <c r="X97" s="21">
        <f t="shared" si="49"/>
        <v>0</v>
      </c>
      <c r="Y97" s="21">
        <f t="shared" si="50"/>
        <v>10</v>
      </c>
    </row>
    <row r="98" spans="1:25" x14ac:dyDescent="0.25">
      <c r="A98" s="21" t="s">
        <v>400</v>
      </c>
      <c r="B98" s="21" t="s">
        <v>168</v>
      </c>
      <c r="C98" s="21" t="s">
        <v>255</v>
      </c>
      <c r="D98" s="21" t="s">
        <v>90</v>
      </c>
      <c r="E98" s="25">
        <v>46315</v>
      </c>
      <c r="F98" s="25">
        <v>46318</v>
      </c>
      <c r="G98" s="21">
        <v>4</v>
      </c>
      <c r="H98" s="21" t="s">
        <v>304</v>
      </c>
      <c r="I98" s="21" t="str">
        <f t="shared" si="34"/>
        <v>Logistique</v>
      </c>
      <c r="J98" s="21" t="str">
        <f t="shared" si="35"/>
        <v>Goma</v>
      </c>
      <c r="K98" s="21">
        <f t="shared" si="36"/>
        <v>1</v>
      </c>
      <c r="L98" s="21">
        <f t="shared" si="37"/>
        <v>1</v>
      </c>
      <c r="M98" s="21">
        <f t="shared" si="38"/>
        <v>0</v>
      </c>
      <c r="N98" s="21">
        <f t="shared" si="39"/>
        <v>0</v>
      </c>
      <c r="O98" s="21">
        <f t="shared" si="40"/>
        <v>0</v>
      </c>
      <c r="P98" s="21">
        <f t="shared" si="41"/>
        <v>0</v>
      </c>
      <c r="Q98" s="21">
        <f t="shared" si="42"/>
        <v>0</v>
      </c>
      <c r="R98" s="21">
        <f t="shared" si="43"/>
        <v>0</v>
      </c>
      <c r="S98" s="21">
        <f t="shared" si="44"/>
        <v>0</v>
      </c>
      <c r="T98" s="21">
        <f t="shared" si="45"/>
        <v>0</v>
      </c>
      <c r="U98" s="21">
        <f t="shared" si="46"/>
        <v>0</v>
      </c>
      <c r="V98" s="21">
        <f t="shared" si="47"/>
        <v>4</v>
      </c>
      <c r="W98" s="21">
        <f t="shared" si="48"/>
        <v>0</v>
      </c>
      <c r="X98" s="21">
        <f t="shared" si="49"/>
        <v>0</v>
      </c>
      <c r="Y98" s="21">
        <f t="shared" si="50"/>
        <v>4</v>
      </c>
    </row>
    <row r="99" spans="1:25" x14ac:dyDescent="0.25">
      <c r="A99" s="21" t="s">
        <v>401</v>
      </c>
      <c r="B99" s="21" t="s">
        <v>209</v>
      </c>
      <c r="C99" s="21" t="s">
        <v>274</v>
      </c>
      <c r="D99" s="21" t="s">
        <v>90</v>
      </c>
      <c r="E99" s="25">
        <v>46322</v>
      </c>
      <c r="F99" s="25">
        <v>46325</v>
      </c>
      <c r="G99" s="21">
        <v>4</v>
      </c>
      <c r="H99" s="21" t="s">
        <v>304</v>
      </c>
      <c r="I99" s="21" t="str">
        <f t="shared" si="34"/>
        <v>Commercial et service client</v>
      </c>
      <c r="J99" s="21" t="str">
        <f t="shared" si="35"/>
        <v>Goma</v>
      </c>
      <c r="K99" s="21">
        <f t="shared" si="36"/>
        <v>1</v>
      </c>
      <c r="L99" s="21">
        <f t="shared" si="37"/>
        <v>1</v>
      </c>
      <c r="M99" s="21">
        <f t="shared" si="38"/>
        <v>0</v>
      </c>
      <c r="N99" s="21">
        <f t="shared" si="39"/>
        <v>0</v>
      </c>
      <c r="O99" s="21">
        <f t="shared" si="40"/>
        <v>0</v>
      </c>
      <c r="P99" s="21">
        <f t="shared" si="41"/>
        <v>0</v>
      </c>
      <c r="Q99" s="21">
        <f t="shared" si="42"/>
        <v>0</v>
      </c>
      <c r="R99" s="21">
        <f t="shared" si="43"/>
        <v>0</v>
      </c>
      <c r="S99" s="21">
        <f t="shared" si="44"/>
        <v>0</v>
      </c>
      <c r="T99" s="21">
        <f t="shared" si="45"/>
        <v>0</v>
      </c>
      <c r="U99" s="21">
        <f t="shared" si="46"/>
        <v>0</v>
      </c>
      <c r="V99" s="21">
        <f t="shared" si="47"/>
        <v>4</v>
      </c>
      <c r="W99" s="21">
        <f t="shared" si="48"/>
        <v>0</v>
      </c>
      <c r="X99" s="21">
        <f t="shared" si="49"/>
        <v>0</v>
      </c>
      <c r="Y99" s="21">
        <f t="shared" si="50"/>
        <v>4</v>
      </c>
    </row>
    <row r="100" spans="1:25" x14ac:dyDescent="0.25">
      <c r="A100" s="21" t="s">
        <v>402</v>
      </c>
      <c r="B100" s="21" t="s">
        <v>180</v>
      </c>
      <c r="C100" s="21" t="s">
        <v>261</v>
      </c>
      <c r="D100" s="21" t="s">
        <v>87</v>
      </c>
      <c r="E100" s="25">
        <v>46342</v>
      </c>
      <c r="F100" s="25">
        <v>46353</v>
      </c>
      <c r="G100" s="21">
        <v>10</v>
      </c>
      <c r="H100" s="21" t="s">
        <v>403</v>
      </c>
      <c r="I100" s="21" t="str">
        <f t="shared" si="34"/>
        <v>Opérations techniques</v>
      </c>
      <c r="J100" s="21" t="str">
        <f t="shared" si="35"/>
        <v>Goma</v>
      </c>
      <c r="K100" s="21">
        <f t="shared" ref="K100:K101" si="51">IF(AND(OR(FiltreDep="Tous",I100=FiltreDep),OR(FiltreBur="Tous",J100=FiltreBur)),1,0)</f>
        <v>1</v>
      </c>
      <c r="L100" s="21">
        <f t="shared" si="37"/>
        <v>0</v>
      </c>
      <c r="M100" s="21">
        <f t="shared" si="38"/>
        <v>0</v>
      </c>
      <c r="N100" s="21">
        <f t="shared" si="39"/>
        <v>0</v>
      </c>
      <c r="O100" s="21">
        <f t="shared" si="40"/>
        <v>0</v>
      </c>
      <c r="P100" s="21">
        <f t="shared" si="41"/>
        <v>0</v>
      </c>
      <c r="Q100" s="21">
        <f t="shared" si="42"/>
        <v>0</v>
      </c>
      <c r="R100" s="21">
        <f t="shared" si="43"/>
        <v>0</v>
      </c>
      <c r="S100" s="21">
        <f t="shared" si="44"/>
        <v>0</v>
      </c>
      <c r="T100" s="21">
        <f t="shared" si="45"/>
        <v>0</v>
      </c>
      <c r="U100" s="21">
        <f t="shared" si="46"/>
        <v>0</v>
      </c>
      <c r="V100" s="21">
        <f t="shared" si="47"/>
        <v>0</v>
      </c>
      <c r="W100" s="21">
        <f t="shared" si="48"/>
        <v>0</v>
      </c>
      <c r="X100" s="21">
        <f t="shared" si="49"/>
        <v>0</v>
      </c>
      <c r="Y100" s="21">
        <f t="shared" ref="Y100:Y101" si="52">SUM(M100:X100)</f>
        <v>0</v>
      </c>
    </row>
    <row r="101" spans="1:25" x14ac:dyDescent="0.25">
      <c r="A101" s="21" t="s">
        <v>404</v>
      </c>
      <c r="B101" s="21" t="s">
        <v>163</v>
      </c>
      <c r="C101" s="21" t="s">
        <v>251</v>
      </c>
      <c r="D101" s="21" t="s">
        <v>87</v>
      </c>
      <c r="E101" s="25">
        <v>46370</v>
      </c>
      <c r="F101" s="25">
        <v>46381</v>
      </c>
      <c r="G101" s="21">
        <v>10</v>
      </c>
      <c r="H101" s="21" t="s">
        <v>304</v>
      </c>
      <c r="I101" s="21" t="str">
        <f t="shared" si="34"/>
        <v>Logistique</v>
      </c>
      <c r="J101" s="21" t="str">
        <f t="shared" si="35"/>
        <v>Goma</v>
      </c>
      <c r="K101" s="21">
        <f t="shared" si="51"/>
        <v>1</v>
      </c>
      <c r="L101" s="21">
        <f t="shared" si="37"/>
        <v>1</v>
      </c>
      <c r="M101" s="21">
        <f t="shared" si="38"/>
        <v>0</v>
      </c>
      <c r="N101" s="21">
        <f t="shared" si="39"/>
        <v>0</v>
      </c>
      <c r="O101" s="21">
        <f t="shared" si="40"/>
        <v>0</v>
      </c>
      <c r="P101" s="21">
        <f t="shared" si="41"/>
        <v>0</v>
      </c>
      <c r="Q101" s="21">
        <f t="shared" si="42"/>
        <v>0</v>
      </c>
      <c r="R101" s="21">
        <f t="shared" si="43"/>
        <v>0</v>
      </c>
      <c r="S101" s="21">
        <f t="shared" si="44"/>
        <v>0</v>
      </c>
      <c r="T101" s="21">
        <f t="shared" si="45"/>
        <v>0</v>
      </c>
      <c r="U101" s="21">
        <f t="shared" si="46"/>
        <v>0</v>
      </c>
      <c r="V101" s="21">
        <f t="shared" si="47"/>
        <v>0</v>
      </c>
      <c r="W101" s="21">
        <f t="shared" si="48"/>
        <v>0</v>
      </c>
      <c r="X101" s="21">
        <f t="shared" si="49"/>
        <v>0</v>
      </c>
      <c r="Y101" s="21">
        <f t="shared" si="52"/>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showGridLines="0" workbookViewId="0">
      <pane xSplit="1" ySplit="3" topLeftCell="B4" activePane="bottomRight" state="frozen"/>
      <selection pane="topRight"/>
      <selection pane="bottomLeft"/>
      <selection pane="bottomRight"/>
    </sheetView>
  </sheetViews>
  <sheetFormatPr baseColWidth="10" defaultColWidth="9.140625" defaultRowHeight="15" x14ac:dyDescent="0.25"/>
  <cols>
    <col min="1" max="1" width="10" customWidth="1"/>
    <col min="2" max="2" width="22" customWidth="1"/>
    <col min="3" max="3" width="30" customWidth="1"/>
    <col min="4" max="4" width="10" customWidth="1"/>
    <col min="5" max="5" width="26" customWidth="1"/>
    <col min="6" max="6" width="22" customWidth="1"/>
    <col min="7" max="10" width="11" customWidth="1"/>
    <col min="11" max="11" width="9" customWidth="1"/>
    <col min="12" max="12" width="11" customWidth="1"/>
    <col min="13" max="13" width="10" customWidth="1"/>
    <col min="14" max="14" width="12" customWidth="1"/>
  </cols>
  <sheetData>
    <row r="1" spans="1:14" ht="18" x14ac:dyDescent="0.25">
      <c r="A1" s="1" t="s">
        <v>405</v>
      </c>
    </row>
    <row r="2" spans="1:14" x14ac:dyDescent="0.25">
      <c r="A2" s="3" t="s">
        <v>1</v>
      </c>
    </row>
    <row r="3" spans="1:14" ht="30" customHeight="1" x14ac:dyDescent="0.25">
      <c r="A3" s="24" t="s">
        <v>406</v>
      </c>
      <c r="B3" s="24" t="s">
        <v>228</v>
      </c>
      <c r="C3" s="24" t="s">
        <v>407</v>
      </c>
      <c r="D3" s="24" t="s">
        <v>408</v>
      </c>
      <c r="E3" s="24" t="s">
        <v>27</v>
      </c>
      <c r="F3" s="24" t="s">
        <v>409</v>
      </c>
      <c r="G3" s="24" t="s">
        <v>410</v>
      </c>
      <c r="H3" s="24" t="s">
        <v>135</v>
      </c>
      <c r="I3" s="24" t="s">
        <v>136</v>
      </c>
      <c r="J3" s="24" t="s">
        <v>411</v>
      </c>
      <c r="K3" s="24" t="s">
        <v>232</v>
      </c>
      <c r="L3" s="24" t="s">
        <v>412</v>
      </c>
      <c r="M3" s="24" t="s">
        <v>413</v>
      </c>
      <c r="N3" s="24" t="s">
        <v>414</v>
      </c>
    </row>
    <row r="4" spans="1:14" x14ac:dyDescent="0.25">
      <c r="A4" s="21" t="s">
        <v>415</v>
      </c>
      <c r="B4" s="21" t="s">
        <v>416</v>
      </c>
      <c r="C4" s="21" t="s">
        <v>417</v>
      </c>
      <c r="D4" s="21" t="s">
        <v>418</v>
      </c>
      <c r="E4" s="21" t="s">
        <v>67</v>
      </c>
      <c r="F4" s="21" t="s">
        <v>242</v>
      </c>
      <c r="G4" s="21" t="s">
        <v>126</v>
      </c>
      <c r="H4" s="25">
        <v>46055</v>
      </c>
      <c r="I4" s="25">
        <v>46142</v>
      </c>
      <c r="J4" s="21" t="s">
        <v>419</v>
      </c>
      <c r="K4" s="21">
        <f t="shared" ref="K4:K9" si="0">IF(AND(OR(FiltreDep="Tous",E4=FiltreDep),OR(FiltreBur="Tous",G4=FiltreBur)),1,0)</f>
        <v>1</v>
      </c>
      <c r="L4" s="21" t="str">
        <f t="shared" ref="L4:L9" si="1">IF(I4&lt;DateSit,"Terminé",IF(H4&gt;DateSit,"À venir","En cours"))</f>
        <v>Terminé</v>
      </c>
      <c r="M4" s="27" t="str">
        <f t="shared" ref="M4:M9" si="2">IF(L4="En cours",I4-DateSit,"")</f>
        <v/>
      </c>
      <c r="N4" s="21" t="str">
        <f t="shared" ref="N4:N9" si="3">IF(L4="Terminé",IF(J4="Oui","Réalisée","À faire"),"")</f>
        <v>Réalisée</v>
      </c>
    </row>
    <row r="5" spans="1:14" x14ac:dyDescent="0.25">
      <c r="A5" s="21" t="s">
        <v>420</v>
      </c>
      <c r="B5" s="21" t="s">
        <v>421</v>
      </c>
      <c r="C5" s="21" t="s">
        <v>422</v>
      </c>
      <c r="D5" s="21" t="s">
        <v>418</v>
      </c>
      <c r="E5" s="21" t="s">
        <v>66</v>
      </c>
      <c r="F5" s="21" t="s">
        <v>263</v>
      </c>
      <c r="G5" s="21" t="s">
        <v>126</v>
      </c>
      <c r="H5" s="25">
        <v>46083</v>
      </c>
      <c r="I5" s="25">
        <v>46265</v>
      </c>
      <c r="J5" s="21" t="s">
        <v>419</v>
      </c>
      <c r="K5" s="21">
        <f t="shared" si="0"/>
        <v>1</v>
      </c>
      <c r="L5" s="21" t="str">
        <f t="shared" si="1"/>
        <v>Terminé</v>
      </c>
      <c r="M5" s="27" t="str">
        <f t="shared" si="2"/>
        <v/>
      </c>
      <c r="N5" s="21" t="str">
        <f t="shared" si="3"/>
        <v>Réalisée</v>
      </c>
    </row>
    <row r="6" spans="1:14" x14ac:dyDescent="0.25">
      <c r="A6" s="21" t="s">
        <v>423</v>
      </c>
      <c r="B6" s="21" t="s">
        <v>424</v>
      </c>
      <c r="C6" s="21" t="s">
        <v>425</v>
      </c>
      <c r="D6" s="21" t="s">
        <v>426</v>
      </c>
      <c r="E6" s="21" t="s">
        <v>63</v>
      </c>
      <c r="F6" s="21" t="s">
        <v>246</v>
      </c>
      <c r="G6" s="21" t="s">
        <v>126</v>
      </c>
      <c r="H6" s="25">
        <v>46174</v>
      </c>
      <c r="I6" s="25">
        <v>46262</v>
      </c>
      <c r="J6" s="21" t="s">
        <v>419</v>
      </c>
      <c r="K6" s="21">
        <f t="shared" si="0"/>
        <v>1</v>
      </c>
      <c r="L6" s="21" t="str">
        <f t="shared" si="1"/>
        <v>Terminé</v>
      </c>
      <c r="M6" s="27" t="str">
        <f t="shared" si="2"/>
        <v/>
      </c>
      <c r="N6" s="21" t="str">
        <f t="shared" si="3"/>
        <v>Réalisée</v>
      </c>
    </row>
    <row r="7" spans="1:14" x14ac:dyDescent="0.25">
      <c r="A7" s="21" t="s">
        <v>427</v>
      </c>
      <c r="B7" s="21" t="s">
        <v>428</v>
      </c>
      <c r="C7" s="21" t="s">
        <v>422</v>
      </c>
      <c r="D7" s="21" t="s">
        <v>429</v>
      </c>
      <c r="E7" s="21" t="s">
        <v>66</v>
      </c>
      <c r="F7" s="21" t="s">
        <v>261</v>
      </c>
      <c r="G7" s="21" t="s">
        <v>126</v>
      </c>
      <c r="H7" s="25">
        <v>46266</v>
      </c>
      <c r="I7" s="25">
        <v>46444</v>
      </c>
      <c r="J7" s="21" t="s">
        <v>430</v>
      </c>
      <c r="K7" s="21">
        <f t="shared" si="0"/>
        <v>1</v>
      </c>
      <c r="L7" s="21" t="str">
        <f t="shared" si="1"/>
        <v>En cours</v>
      </c>
      <c r="M7" s="27">
        <f t="shared" si="2"/>
        <v>118</v>
      </c>
      <c r="N7" s="21" t="str">
        <f t="shared" si="3"/>
        <v/>
      </c>
    </row>
    <row r="8" spans="1:14" x14ac:dyDescent="0.25">
      <c r="A8" s="21" t="s">
        <v>431</v>
      </c>
      <c r="B8" s="21" t="s">
        <v>432</v>
      </c>
      <c r="C8" s="21" t="s">
        <v>433</v>
      </c>
      <c r="D8" s="21" t="s">
        <v>418</v>
      </c>
      <c r="E8" s="21" t="s">
        <v>61</v>
      </c>
      <c r="F8" s="21" t="s">
        <v>272</v>
      </c>
      <c r="G8" s="21" t="s">
        <v>126</v>
      </c>
      <c r="H8" s="25">
        <v>46296</v>
      </c>
      <c r="I8" s="25">
        <v>46387</v>
      </c>
      <c r="J8" s="21" t="s">
        <v>430</v>
      </c>
      <c r="K8" s="21">
        <f t="shared" si="0"/>
        <v>1</v>
      </c>
      <c r="L8" s="21" t="str">
        <f t="shared" si="1"/>
        <v>En cours</v>
      </c>
      <c r="M8" s="27">
        <f t="shared" si="2"/>
        <v>61</v>
      </c>
      <c r="N8" s="21" t="str">
        <f t="shared" si="3"/>
        <v/>
      </c>
    </row>
    <row r="9" spans="1:14" x14ac:dyDescent="0.25">
      <c r="A9" s="21" t="s">
        <v>434</v>
      </c>
      <c r="B9" s="21" t="s">
        <v>435</v>
      </c>
      <c r="C9" s="21" t="s">
        <v>436</v>
      </c>
      <c r="D9" s="21" t="s">
        <v>418</v>
      </c>
      <c r="E9" s="21" t="s">
        <v>64</v>
      </c>
      <c r="F9" s="21" t="s">
        <v>281</v>
      </c>
      <c r="G9" s="21" t="s">
        <v>126</v>
      </c>
      <c r="H9" s="25">
        <v>46328</v>
      </c>
      <c r="I9" s="25">
        <v>46416</v>
      </c>
      <c r="J9" s="21" t="s">
        <v>430</v>
      </c>
      <c r="K9" s="21">
        <f t="shared" si="0"/>
        <v>1</v>
      </c>
      <c r="L9" s="21" t="str">
        <f t="shared" si="1"/>
        <v>À venir</v>
      </c>
      <c r="M9" s="27" t="str">
        <f t="shared" si="2"/>
        <v/>
      </c>
      <c r="N9" s="21" t="str">
        <f t="shared" si="3"/>
        <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showGridLines="0" workbookViewId="0">
      <pane xSplit="1" ySplit="3" topLeftCell="B4" activePane="bottomRight" state="frozen"/>
      <selection pane="topRight"/>
      <selection pane="bottomLeft"/>
      <selection pane="bottomRight"/>
    </sheetView>
  </sheetViews>
  <sheetFormatPr baseColWidth="10" defaultColWidth="9.140625" defaultRowHeight="15" x14ac:dyDescent="0.25"/>
  <cols>
    <col min="1" max="1" width="11" customWidth="1"/>
    <col min="2" max="3" width="13" customWidth="1"/>
    <col min="4" max="4" width="24" customWidth="1"/>
  </cols>
  <sheetData>
    <row r="1" spans="1:4" ht="18" x14ac:dyDescent="0.25">
      <c r="A1" s="1" t="s">
        <v>437</v>
      </c>
    </row>
    <row r="2" spans="1:4" x14ac:dyDescent="0.25">
      <c r="A2" s="3" t="s">
        <v>1</v>
      </c>
    </row>
    <row r="3" spans="1:4" ht="30" customHeight="1" x14ac:dyDescent="0.25">
      <c r="A3" s="24" t="s">
        <v>438</v>
      </c>
      <c r="B3" s="24" t="s">
        <v>439</v>
      </c>
      <c r="C3" s="24" t="s">
        <v>440</v>
      </c>
      <c r="D3" s="24" t="s">
        <v>441</v>
      </c>
    </row>
    <row r="4" spans="1:4" x14ac:dyDescent="0.25">
      <c r="A4" s="21" t="s">
        <v>442</v>
      </c>
      <c r="B4" s="21" t="s">
        <v>93</v>
      </c>
      <c r="C4" s="25">
        <v>46254</v>
      </c>
      <c r="D4" s="21" t="s">
        <v>443</v>
      </c>
    </row>
    <row r="5" spans="1:4" x14ac:dyDescent="0.25">
      <c r="A5" s="21" t="s">
        <v>444</v>
      </c>
      <c r="B5" s="21" t="s">
        <v>93</v>
      </c>
      <c r="C5" s="25">
        <v>46259</v>
      </c>
      <c r="D5" s="21" t="s">
        <v>445</v>
      </c>
    </row>
    <row r="6" spans="1:4" x14ac:dyDescent="0.25">
      <c r="A6" s="21" t="s">
        <v>446</v>
      </c>
      <c r="B6" s="21" t="s">
        <v>93</v>
      </c>
      <c r="C6" s="25">
        <v>46262</v>
      </c>
      <c r="D6" s="21" t="s">
        <v>447</v>
      </c>
    </row>
    <row r="7" spans="1:4" x14ac:dyDescent="0.25">
      <c r="A7" s="21" t="s">
        <v>448</v>
      </c>
      <c r="B7" s="21" t="s">
        <v>93</v>
      </c>
      <c r="C7" s="25">
        <v>46266</v>
      </c>
      <c r="D7" s="21" t="s">
        <v>443</v>
      </c>
    </row>
    <row r="8" spans="1:4" x14ac:dyDescent="0.25">
      <c r="A8" s="21" t="s">
        <v>449</v>
      </c>
      <c r="B8" s="21" t="s">
        <v>93</v>
      </c>
      <c r="C8" s="25">
        <v>46268</v>
      </c>
      <c r="D8" s="21" t="s">
        <v>445</v>
      </c>
    </row>
    <row r="9" spans="1:4" x14ac:dyDescent="0.25">
      <c r="A9" s="21" t="s">
        <v>450</v>
      </c>
      <c r="B9" s="21" t="s">
        <v>94</v>
      </c>
      <c r="C9" s="25">
        <v>46275</v>
      </c>
      <c r="D9" s="21" t="s">
        <v>451</v>
      </c>
    </row>
    <row r="10" spans="1:4" x14ac:dyDescent="0.25">
      <c r="A10" s="21" t="s">
        <v>452</v>
      </c>
      <c r="B10" s="21" t="s">
        <v>94</v>
      </c>
      <c r="C10" s="25">
        <v>46277</v>
      </c>
      <c r="D10" s="21" t="s">
        <v>443</v>
      </c>
    </row>
    <row r="11" spans="1:4" x14ac:dyDescent="0.25">
      <c r="A11" s="21" t="s">
        <v>453</v>
      </c>
      <c r="B11" s="21" t="s">
        <v>94</v>
      </c>
      <c r="C11" s="25">
        <v>46280</v>
      </c>
      <c r="D11" s="21" t="s">
        <v>447</v>
      </c>
    </row>
    <row r="12" spans="1:4" x14ac:dyDescent="0.25">
      <c r="A12" s="21" t="s">
        <v>454</v>
      </c>
      <c r="B12" s="21" t="s">
        <v>94</v>
      </c>
      <c r="C12" s="25">
        <v>46287</v>
      </c>
      <c r="D12" s="21" t="s">
        <v>445</v>
      </c>
    </row>
    <row r="13" spans="1:4" x14ac:dyDescent="0.25">
      <c r="A13" s="21" t="s">
        <v>455</v>
      </c>
      <c r="B13" s="21" t="s">
        <v>94</v>
      </c>
      <c r="C13" s="25">
        <v>46289</v>
      </c>
      <c r="D13" s="21" t="s">
        <v>451</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showGridLines="0" tabSelected="1" workbookViewId="0">
      <pane xSplit="1" ySplit="3" topLeftCell="B4" activePane="bottomRight" state="frozen"/>
      <selection pane="topRight"/>
      <selection pane="bottomLeft"/>
      <selection pane="bottomRight"/>
    </sheetView>
  </sheetViews>
  <sheetFormatPr baseColWidth="10" defaultColWidth="9.140625" defaultRowHeight="15" x14ac:dyDescent="0.25"/>
  <cols>
    <col min="1" max="1" width="11" customWidth="1"/>
    <col min="2" max="2" width="10" customWidth="1"/>
    <col min="3" max="3" width="13" customWidth="1"/>
    <col min="4" max="4" width="7" customWidth="1"/>
    <col min="5" max="5" width="32" customWidth="1"/>
    <col min="6" max="6" width="11" customWidth="1"/>
    <col min="7" max="7" width="16" customWidth="1"/>
    <col min="8" max="8" width="24" customWidth="1"/>
  </cols>
  <sheetData>
    <row r="1" spans="1:8" ht="18" x14ac:dyDescent="0.25">
      <c r="A1" s="1" t="s">
        <v>456</v>
      </c>
    </row>
    <row r="2" spans="1:8" x14ac:dyDescent="0.25">
      <c r="A2" s="3" t="s">
        <v>1</v>
      </c>
    </row>
    <row r="3" spans="1:8" ht="30" customHeight="1" x14ac:dyDescent="0.25">
      <c r="A3" s="24" t="s">
        <v>457</v>
      </c>
      <c r="B3" s="24" t="s">
        <v>438</v>
      </c>
      <c r="C3" s="24" t="s">
        <v>439</v>
      </c>
      <c r="D3" s="24" t="s">
        <v>92</v>
      </c>
      <c r="E3" s="24" t="s">
        <v>458</v>
      </c>
      <c r="F3" s="24" t="s">
        <v>459</v>
      </c>
      <c r="G3" s="24" t="s">
        <v>460</v>
      </c>
      <c r="H3" s="24" t="s">
        <v>461</v>
      </c>
    </row>
    <row r="4" spans="1:8" x14ac:dyDescent="0.25">
      <c r="A4" s="21" t="s">
        <v>462</v>
      </c>
      <c r="B4" s="21" t="s">
        <v>442</v>
      </c>
      <c r="C4" s="21" t="s">
        <v>93</v>
      </c>
      <c r="D4" s="21">
        <v>1</v>
      </c>
      <c r="E4" s="21" t="s">
        <v>463</v>
      </c>
      <c r="F4" s="25">
        <v>46254</v>
      </c>
      <c r="G4" s="21" t="s">
        <v>464</v>
      </c>
      <c r="H4" s="21" t="s">
        <v>245</v>
      </c>
    </row>
    <row r="5" spans="1:8" x14ac:dyDescent="0.25">
      <c r="A5" s="21" t="s">
        <v>465</v>
      </c>
      <c r="B5" s="21" t="s">
        <v>442</v>
      </c>
      <c r="C5" s="21" t="s">
        <v>93</v>
      </c>
      <c r="D5" s="21">
        <v>2</v>
      </c>
      <c r="E5" s="21" t="s">
        <v>466</v>
      </c>
      <c r="F5" s="25">
        <v>46273</v>
      </c>
      <c r="G5" s="21" t="s">
        <v>464</v>
      </c>
      <c r="H5" s="21" t="s">
        <v>467</v>
      </c>
    </row>
    <row r="6" spans="1:8" x14ac:dyDescent="0.25">
      <c r="A6" s="21" t="s">
        <v>468</v>
      </c>
      <c r="B6" s="21" t="s">
        <v>442</v>
      </c>
      <c r="C6" s="21" t="s">
        <v>93</v>
      </c>
      <c r="D6" s="21">
        <v>3</v>
      </c>
      <c r="E6" s="21" t="s">
        <v>469</v>
      </c>
      <c r="F6" s="25">
        <v>46275</v>
      </c>
      <c r="G6" s="21" t="s">
        <v>464</v>
      </c>
      <c r="H6" s="21" t="s">
        <v>245</v>
      </c>
    </row>
    <row r="7" spans="1:8" x14ac:dyDescent="0.25">
      <c r="A7" s="21" t="s">
        <v>470</v>
      </c>
      <c r="B7" s="21" t="s">
        <v>442</v>
      </c>
      <c r="C7" s="21" t="s">
        <v>93</v>
      </c>
      <c r="D7" s="21">
        <v>4</v>
      </c>
      <c r="E7" s="21" t="s">
        <v>471</v>
      </c>
      <c r="F7" s="25">
        <v>46282</v>
      </c>
      <c r="G7" s="21" t="s">
        <v>464</v>
      </c>
      <c r="H7" s="21" t="s">
        <v>467</v>
      </c>
    </row>
    <row r="8" spans="1:8" x14ac:dyDescent="0.25">
      <c r="A8" s="21" t="s">
        <v>472</v>
      </c>
      <c r="B8" s="21" t="s">
        <v>442</v>
      </c>
      <c r="C8" s="21" t="s">
        <v>93</v>
      </c>
      <c r="D8" s="21">
        <v>5</v>
      </c>
      <c r="E8" s="21" t="s">
        <v>473</v>
      </c>
      <c r="F8" s="25">
        <v>46289</v>
      </c>
      <c r="G8" s="21" t="s">
        <v>464</v>
      </c>
      <c r="H8" s="21" t="s">
        <v>245</v>
      </c>
    </row>
    <row r="9" spans="1:8" x14ac:dyDescent="0.25">
      <c r="A9" s="21" t="s">
        <v>474</v>
      </c>
      <c r="B9" s="21" t="s">
        <v>442</v>
      </c>
      <c r="C9" s="21" t="s">
        <v>93</v>
      </c>
      <c r="D9" s="21">
        <v>6</v>
      </c>
      <c r="E9" s="21" t="s">
        <v>475</v>
      </c>
      <c r="F9" s="25">
        <v>46294</v>
      </c>
      <c r="G9" s="21" t="s">
        <v>476</v>
      </c>
      <c r="H9" s="21" t="s">
        <v>243</v>
      </c>
    </row>
    <row r="10" spans="1:8" x14ac:dyDescent="0.25">
      <c r="A10" s="21" t="s">
        <v>477</v>
      </c>
      <c r="B10" s="21" t="s">
        <v>442</v>
      </c>
      <c r="C10" s="21" t="s">
        <v>93</v>
      </c>
      <c r="D10" s="21">
        <v>7</v>
      </c>
      <c r="E10" s="21" t="s">
        <v>478</v>
      </c>
      <c r="F10" s="25">
        <v>46307</v>
      </c>
      <c r="G10" s="21" t="s">
        <v>464</v>
      </c>
      <c r="H10" s="21" t="s">
        <v>243</v>
      </c>
    </row>
    <row r="11" spans="1:8" x14ac:dyDescent="0.25">
      <c r="A11" s="21" t="s">
        <v>479</v>
      </c>
      <c r="B11" s="21" t="s">
        <v>444</v>
      </c>
      <c r="C11" s="21" t="s">
        <v>93</v>
      </c>
      <c r="D11" s="21">
        <v>1</v>
      </c>
      <c r="E11" s="21" t="s">
        <v>463</v>
      </c>
      <c r="F11" s="25">
        <v>46259</v>
      </c>
      <c r="G11" s="21" t="s">
        <v>464</v>
      </c>
      <c r="H11" s="21" t="s">
        <v>245</v>
      </c>
    </row>
    <row r="12" spans="1:8" x14ac:dyDescent="0.25">
      <c r="A12" s="21" t="s">
        <v>480</v>
      </c>
      <c r="B12" s="21" t="s">
        <v>444</v>
      </c>
      <c r="C12" s="21" t="s">
        <v>93</v>
      </c>
      <c r="D12" s="21">
        <v>2</v>
      </c>
      <c r="E12" s="21" t="s">
        <v>466</v>
      </c>
      <c r="F12" s="25">
        <v>46273</v>
      </c>
      <c r="G12" s="21" t="s">
        <v>464</v>
      </c>
      <c r="H12" s="21" t="s">
        <v>467</v>
      </c>
    </row>
    <row r="13" spans="1:8" x14ac:dyDescent="0.25">
      <c r="A13" s="21" t="s">
        <v>481</v>
      </c>
      <c r="B13" s="21" t="s">
        <v>444</v>
      </c>
      <c r="C13" s="21" t="s">
        <v>93</v>
      </c>
      <c r="D13" s="21">
        <v>3</v>
      </c>
      <c r="E13" s="21" t="s">
        <v>469</v>
      </c>
      <c r="F13" s="25">
        <v>46275</v>
      </c>
      <c r="G13" s="21" t="s">
        <v>464</v>
      </c>
      <c r="H13" s="21" t="s">
        <v>245</v>
      </c>
    </row>
    <row r="14" spans="1:8" x14ac:dyDescent="0.25">
      <c r="A14" s="21" t="s">
        <v>482</v>
      </c>
      <c r="B14" s="21" t="s">
        <v>444</v>
      </c>
      <c r="C14" s="21" t="s">
        <v>93</v>
      </c>
      <c r="D14" s="21">
        <v>4</v>
      </c>
      <c r="E14" s="21" t="s">
        <v>471</v>
      </c>
      <c r="F14" s="25">
        <v>46282</v>
      </c>
      <c r="G14" s="21" t="s">
        <v>464</v>
      </c>
      <c r="H14" s="21" t="s">
        <v>467</v>
      </c>
    </row>
    <row r="15" spans="1:8" x14ac:dyDescent="0.25">
      <c r="A15" s="21" t="s">
        <v>483</v>
      </c>
      <c r="B15" s="21" t="s">
        <v>444</v>
      </c>
      <c r="C15" s="21" t="s">
        <v>93</v>
      </c>
      <c r="D15" s="21">
        <v>5</v>
      </c>
      <c r="E15" s="21" t="s">
        <v>473</v>
      </c>
      <c r="F15" s="25">
        <v>46289</v>
      </c>
      <c r="G15" s="21" t="s">
        <v>464</v>
      </c>
      <c r="H15" s="21" t="s">
        <v>245</v>
      </c>
    </row>
    <row r="16" spans="1:8" x14ac:dyDescent="0.25">
      <c r="A16" s="21" t="s">
        <v>484</v>
      </c>
      <c r="B16" s="21" t="s">
        <v>444</v>
      </c>
      <c r="C16" s="21" t="s">
        <v>93</v>
      </c>
      <c r="D16" s="21">
        <v>6</v>
      </c>
      <c r="E16" s="21" t="s">
        <v>475</v>
      </c>
      <c r="F16" s="25">
        <v>46294</v>
      </c>
      <c r="G16" s="21" t="s">
        <v>485</v>
      </c>
      <c r="H16" s="21" t="s">
        <v>243</v>
      </c>
    </row>
    <row r="17" spans="1:8" x14ac:dyDescent="0.25">
      <c r="A17" s="21" t="s">
        <v>486</v>
      </c>
      <c r="B17" s="21" t="s">
        <v>446</v>
      </c>
      <c r="C17" s="21" t="s">
        <v>93</v>
      </c>
      <c r="D17" s="21">
        <v>1</v>
      </c>
      <c r="E17" s="21" t="s">
        <v>463</v>
      </c>
      <c r="F17" s="25">
        <v>46262</v>
      </c>
      <c r="G17" s="21" t="s">
        <v>464</v>
      </c>
      <c r="H17" s="21" t="s">
        <v>245</v>
      </c>
    </row>
    <row r="18" spans="1:8" x14ac:dyDescent="0.25">
      <c r="A18" s="21" t="s">
        <v>487</v>
      </c>
      <c r="B18" s="21" t="s">
        <v>446</v>
      </c>
      <c r="C18" s="21" t="s">
        <v>93</v>
      </c>
      <c r="D18" s="21">
        <v>2</v>
      </c>
      <c r="E18" s="21" t="s">
        <v>466</v>
      </c>
      <c r="F18" s="25">
        <v>46273</v>
      </c>
      <c r="G18" s="21" t="s">
        <v>464</v>
      </c>
      <c r="H18" s="21" t="s">
        <v>467</v>
      </c>
    </row>
    <row r="19" spans="1:8" x14ac:dyDescent="0.25">
      <c r="A19" s="21" t="s">
        <v>488</v>
      </c>
      <c r="B19" s="21" t="s">
        <v>446</v>
      </c>
      <c r="C19" s="21" t="s">
        <v>93</v>
      </c>
      <c r="D19" s="21">
        <v>3</v>
      </c>
      <c r="E19" s="21" t="s">
        <v>469</v>
      </c>
      <c r="F19" s="25">
        <v>46275</v>
      </c>
      <c r="G19" s="21" t="s">
        <v>464</v>
      </c>
      <c r="H19" s="21" t="s">
        <v>245</v>
      </c>
    </row>
    <row r="20" spans="1:8" x14ac:dyDescent="0.25">
      <c r="A20" s="21" t="s">
        <v>489</v>
      </c>
      <c r="B20" s="21" t="s">
        <v>446</v>
      </c>
      <c r="C20" s="21" t="s">
        <v>93</v>
      </c>
      <c r="D20" s="21">
        <v>4</v>
      </c>
      <c r="E20" s="21" t="s">
        <v>471</v>
      </c>
      <c r="F20" s="25">
        <v>46282</v>
      </c>
      <c r="G20" s="21" t="s">
        <v>490</v>
      </c>
      <c r="H20" s="21" t="s">
        <v>467</v>
      </c>
    </row>
    <row r="21" spans="1:8" x14ac:dyDescent="0.25">
      <c r="A21" s="21" t="s">
        <v>491</v>
      </c>
      <c r="B21" s="21" t="s">
        <v>448</v>
      </c>
      <c r="C21" s="21" t="s">
        <v>93</v>
      </c>
      <c r="D21" s="21">
        <v>1</v>
      </c>
      <c r="E21" s="21" t="s">
        <v>463</v>
      </c>
      <c r="F21" s="25">
        <v>46266</v>
      </c>
      <c r="G21" s="21" t="s">
        <v>464</v>
      </c>
      <c r="H21" s="21" t="s">
        <v>245</v>
      </c>
    </row>
    <row r="22" spans="1:8" x14ac:dyDescent="0.25">
      <c r="A22" s="21" t="s">
        <v>492</v>
      </c>
      <c r="B22" s="21" t="s">
        <v>448</v>
      </c>
      <c r="C22" s="21" t="s">
        <v>93</v>
      </c>
      <c r="D22" s="21">
        <v>2</v>
      </c>
      <c r="E22" s="21" t="s">
        <v>466</v>
      </c>
      <c r="F22" s="25">
        <v>46273</v>
      </c>
      <c r="G22" s="21" t="s">
        <v>490</v>
      </c>
      <c r="H22" s="21" t="s">
        <v>467</v>
      </c>
    </row>
    <row r="23" spans="1:8" x14ac:dyDescent="0.25">
      <c r="A23" s="21" t="s">
        <v>493</v>
      </c>
      <c r="B23" s="21" t="s">
        <v>449</v>
      </c>
      <c r="C23" s="21" t="s">
        <v>93</v>
      </c>
      <c r="D23" s="21">
        <v>1</v>
      </c>
      <c r="E23" s="21" t="s">
        <v>463</v>
      </c>
      <c r="F23" s="25">
        <v>46268</v>
      </c>
      <c r="G23" s="21" t="s">
        <v>464</v>
      </c>
      <c r="H23" s="21" t="s">
        <v>245</v>
      </c>
    </row>
    <row r="24" spans="1:8" x14ac:dyDescent="0.25">
      <c r="A24" s="21" t="s">
        <v>494</v>
      </c>
      <c r="B24" s="21" t="s">
        <v>449</v>
      </c>
      <c r="C24" s="21" t="s">
        <v>93</v>
      </c>
      <c r="D24" s="21">
        <v>2</v>
      </c>
      <c r="E24" s="21" t="s">
        <v>466</v>
      </c>
      <c r="F24" s="25">
        <v>46273</v>
      </c>
      <c r="G24" s="21" t="s">
        <v>490</v>
      </c>
      <c r="H24" s="21" t="s">
        <v>467</v>
      </c>
    </row>
    <row r="25" spans="1:8" x14ac:dyDescent="0.25">
      <c r="A25" s="21" t="s">
        <v>495</v>
      </c>
      <c r="B25" s="21" t="s">
        <v>450</v>
      </c>
      <c r="C25" s="21" t="s">
        <v>94</v>
      </c>
      <c r="D25" s="21">
        <v>1</v>
      </c>
      <c r="E25" s="21" t="s">
        <v>463</v>
      </c>
      <c r="F25" s="25">
        <v>46275</v>
      </c>
      <c r="G25" s="21" t="s">
        <v>464</v>
      </c>
      <c r="H25" s="21" t="s">
        <v>245</v>
      </c>
    </row>
    <row r="26" spans="1:8" x14ac:dyDescent="0.25">
      <c r="A26" s="21" t="s">
        <v>496</v>
      </c>
      <c r="B26" s="21" t="s">
        <v>450</v>
      </c>
      <c r="C26" s="21" t="s">
        <v>94</v>
      </c>
      <c r="D26" s="21">
        <v>2</v>
      </c>
      <c r="E26" s="21" t="s">
        <v>466</v>
      </c>
      <c r="F26" s="25">
        <v>46297</v>
      </c>
      <c r="G26" s="21" t="s">
        <v>464</v>
      </c>
      <c r="H26" s="21" t="s">
        <v>467</v>
      </c>
    </row>
    <row r="27" spans="1:8" x14ac:dyDescent="0.25">
      <c r="A27" s="21" t="s">
        <v>497</v>
      </c>
      <c r="B27" s="21" t="s">
        <v>450</v>
      </c>
      <c r="C27" s="21" t="s">
        <v>94</v>
      </c>
      <c r="D27" s="21">
        <v>3</v>
      </c>
      <c r="E27" s="21" t="s">
        <v>469</v>
      </c>
      <c r="F27" s="25">
        <v>46321</v>
      </c>
      <c r="G27" s="21" t="s">
        <v>464</v>
      </c>
      <c r="H27" s="21" t="s">
        <v>245</v>
      </c>
    </row>
    <row r="28" spans="1:8" x14ac:dyDescent="0.25">
      <c r="A28" s="21" t="s">
        <v>498</v>
      </c>
      <c r="B28" s="21" t="s">
        <v>452</v>
      </c>
      <c r="C28" s="21" t="s">
        <v>94</v>
      </c>
      <c r="D28" s="21">
        <v>1</v>
      </c>
      <c r="E28" s="21" t="s">
        <v>463</v>
      </c>
      <c r="F28" s="25">
        <v>46277</v>
      </c>
      <c r="G28" s="21" t="s">
        <v>464</v>
      </c>
      <c r="H28" s="21" t="s">
        <v>245</v>
      </c>
    </row>
    <row r="29" spans="1:8" x14ac:dyDescent="0.25">
      <c r="A29" s="21" t="s">
        <v>499</v>
      </c>
      <c r="B29" s="21" t="s">
        <v>452</v>
      </c>
      <c r="C29" s="21" t="s">
        <v>94</v>
      </c>
      <c r="D29" s="21">
        <v>2</v>
      </c>
      <c r="E29" s="21" t="s">
        <v>466</v>
      </c>
      <c r="F29" s="25">
        <v>46297</v>
      </c>
      <c r="G29" s="21" t="s">
        <v>464</v>
      </c>
      <c r="H29" s="21" t="s">
        <v>467</v>
      </c>
    </row>
    <row r="30" spans="1:8" x14ac:dyDescent="0.25">
      <c r="A30" s="21" t="s">
        <v>500</v>
      </c>
      <c r="B30" s="21" t="s">
        <v>452</v>
      </c>
      <c r="C30" s="21" t="s">
        <v>94</v>
      </c>
      <c r="D30" s="21">
        <v>3</v>
      </c>
      <c r="E30" s="21" t="s">
        <v>469</v>
      </c>
      <c r="F30" s="25">
        <v>46321</v>
      </c>
      <c r="G30" s="21" t="s">
        <v>464</v>
      </c>
      <c r="H30" s="21" t="s">
        <v>245</v>
      </c>
    </row>
    <row r="31" spans="1:8" x14ac:dyDescent="0.25">
      <c r="A31" s="21" t="s">
        <v>501</v>
      </c>
      <c r="B31" s="21" t="s">
        <v>453</v>
      </c>
      <c r="C31" s="21" t="s">
        <v>94</v>
      </c>
      <c r="D31" s="21">
        <v>1</v>
      </c>
      <c r="E31" s="21" t="s">
        <v>463</v>
      </c>
      <c r="F31" s="25">
        <v>46280</v>
      </c>
      <c r="G31" s="21" t="s">
        <v>464</v>
      </c>
      <c r="H31" s="21" t="s">
        <v>245</v>
      </c>
    </row>
    <row r="32" spans="1:8" x14ac:dyDescent="0.25">
      <c r="A32" s="21" t="s">
        <v>502</v>
      </c>
      <c r="B32" s="21" t="s">
        <v>453</v>
      </c>
      <c r="C32" s="21" t="s">
        <v>94</v>
      </c>
      <c r="D32" s="21">
        <v>2</v>
      </c>
      <c r="E32" s="21" t="s">
        <v>466</v>
      </c>
      <c r="F32" s="25">
        <v>46297</v>
      </c>
      <c r="G32" s="21" t="s">
        <v>464</v>
      </c>
      <c r="H32" s="21" t="s">
        <v>467</v>
      </c>
    </row>
    <row r="33" spans="1:8" x14ac:dyDescent="0.25">
      <c r="A33" s="21" t="s">
        <v>503</v>
      </c>
      <c r="B33" s="21" t="s">
        <v>453</v>
      </c>
      <c r="C33" s="21" t="s">
        <v>94</v>
      </c>
      <c r="D33" s="21">
        <v>3</v>
      </c>
      <c r="E33" s="21" t="s">
        <v>469</v>
      </c>
      <c r="F33" s="25">
        <v>46321</v>
      </c>
      <c r="G33" s="21" t="s">
        <v>464</v>
      </c>
      <c r="H33" s="21" t="s">
        <v>245</v>
      </c>
    </row>
    <row r="34" spans="1:8" x14ac:dyDescent="0.25">
      <c r="A34" s="21" t="s">
        <v>504</v>
      </c>
      <c r="B34" s="21" t="s">
        <v>454</v>
      </c>
      <c r="C34" s="21" t="s">
        <v>94</v>
      </c>
      <c r="D34" s="21">
        <v>1</v>
      </c>
      <c r="E34" s="21" t="s">
        <v>463</v>
      </c>
      <c r="F34" s="25">
        <v>46287</v>
      </c>
      <c r="G34" s="21" t="s">
        <v>464</v>
      </c>
      <c r="H34" s="21" t="s">
        <v>245</v>
      </c>
    </row>
    <row r="35" spans="1:8" x14ac:dyDescent="0.25">
      <c r="A35" s="21" t="s">
        <v>505</v>
      </c>
      <c r="B35" s="21" t="s">
        <v>454</v>
      </c>
      <c r="C35" s="21" t="s">
        <v>94</v>
      </c>
      <c r="D35" s="21">
        <v>2</v>
      </c>
      <c r="E35" s="21" t="s">
        <v>466</v>
      </c>
      <c r="F35" s="25">
        <v>46297</v>
      </c>
      <c r="G35" s="21" t="s">
        <v>490</v>
      </c>
      <c r="H35" s="21" t="s">
        <v>467</v>
      </c>
    </row>
    <row r="36" spans="1:8" x14ac:dyDescent="0.25">
      <c r="A36" s="21" t="s">
        <v>506</v>
      </c>
      <c r="B36" s="21" t="s">
        <v>455</v>
      </c>
      <c r="C36" s="21" t="s">
        <v>94</v>
      </c>
      <c r="D36" s="21">
        <v>1</v>
      </c>
      <c r="E36" s="21" t="s">
        <v>463</v>
      </c>
      <c r="F36" s="25">
        <v>46289</v>
      </c>
      <c r="G36" s="21" t="s">
        <v>464</v>
      </c>
      <c r="H36" s="21" t="s">
        <v>245</v>
      </c>
    </row>
    <row r="37" spans="1:8" x14ac:dyDescent="0.25">
      <c r="A37" s="21" t="s">
        <v>507</v>
      </c>
      <c r="B37" s="21" t="s">
        <v>455</v>
      </c>
      <c r="C37" s="21" t="s">
        <v>94</v>
      </c>
      <c r="D37" s="21">
        <v>2</v>
      </c>
      <c r="E37" s="21" t="s">
        <v>466</v>
      </c>
      <c r="F37" s="25">
        <v>46297</v>
      </c>
      <c r="G37" s="21" t="s">
        <v>464</v>
      </c>
      <c r="H37" s="21" t="s">
        <v>467</v>
      </c>
    </row>
    <row r="38" spans="1:8" x14ac:dyDescent="0.25">
      <c r="A38" s="21" t="s">
        <v>508</v>
      </c>
      <c r="B38" s="21" t="s">
        <v>455</v>
      </c>
      <c r="C38" s="21" t="s">
        <v>94</v>
      </c>
      <c r="D38" s="21">
        <v>3</v>
      </c>
      <c r="E38" s="21" t="s">
        <v>469</v>
      </c>
      <c r="F38" s="25">
        <v>46321</v>
      </c>
      <c r="G38" s="21" t="s">
        <v>464</v>
      </c>
      <c r="H38" s="21" t="s">
        <v>245</v>
      </c>
    </row>
    <row r="39" spans="1:8" x14ac:dyDescent="0.25">
      <c r="A39" s="21" t="s">
        <v>509</v>
      </c>
      <c r="B39" s="21" t="s">
        <v>455</v>
      </c>
      <c r="C39" s="21" t="s">
        <v>94</v>
      </c>
      <c r="D39" s="21">
        <v>4</v>
      </c>
      <c r="E39" s="21" t="s">
        <v>471</v>
      </c>
      <c r="F39" s="25">
        <v>46323</v>
      </c>
      <c r="G39" s="21" t="s">
        <v>510</v>
      </c>
      <c r="H39" s="21" t="s">
        <v>245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40</vt:i4>
      </vt:variant>
    </vt:vector>
  </HeadingPairs>
  <TitlesOfParts>
    <vt:vector size="49" baseType="lpstr">
      <vt:lpstr>Lisez-moi</vt:lpstr>
      <vt:lpstr>Tableau de bord</vt:lpstr>
      <vt:lpstr>Paramètres</vt:lpstr>
      <vt:lpstr>Contrats</vt:lpstr>
      <vt:lpstr>Collaborateurs</vt:lpstr>
      <vt:lpstr>Absences</vt:lpstr>
      <vt:lpstr>Stagiaires</vt:lpstr>
      <vt:lpstr>Candidatures</vt:lpstr>
      <vt:lpstr>Étapes recrutement</vt:lpstr>
      <vt:lpstr>ab_cat</vt:lpstr>
      <vt:lpstr>ab_mois</vt:lpstr>
      <vt:lpstr>ab_perim</vt:lpstr>
      <vt:lpstr>ab_statut</vt:lpstr>
      <vt:lpstr>ab_total</vt:lpstr>
      <vt:lpstr>cd_date</vt:lpstr>
      <vt:lpstr>cl_alerte</vt:lpstr>
      <vt:lpstr>cl_bur</vt:lpstr>
      <vt:lpstr>cl_dep</vt:lpstr>
      <vt:lpstr>cl_emb</vt:lpstr>
      <vt:lpstr>cl_mat</vt:lpstr>
      <vt:lpstr>cl_perim</vt:lpstr>
      <vt:lpstr>cl_present</vt:lpstr>
      <vt:lpstr>cl_sortie</vt:lpstr>
      <vt:lpstr>cl_type</vt:lpstr>
      <vt:lpstr>ct_cle</vt:lpstr>
      <vt:lpstr>ct_deb</vt:lpstr>
      <vt:lpstr>ct_fin</vt:lpstr>
      <vt:lpstr>ct_mat</vt:lpstr>
      <vt:lpstr>ct_type</vt:lpstr>
      <vt:lpstr>DateSit</vt:lpstr>
      <vt:lpstr>ev_date</vt:lpstr>
      <vt:lpstr>ev_etape</vt:lpstr>
      <vt:lpstr>ev_offre</vt:lpstr>
      <vt:lpstr>ev_res</vt:lpstr>
      <vt:lpstr>FiltreBur</vt:lpstr>
      <vt:lpstr>FiltreDep</vt:lpstr>
      <vt:lpstr>ListeBur</vt:lpstr>
      <vt:lpstr>ListeDep</vt:lpstr>
      <vt:lpstr>NivEchu</vt:lpstr>
      <vt:lpstr>NivPreparer</vt:lpstr>
      <vt:lpstr>NivRas</vt:lpstr>
      <vt:lpstr>NivSans</vt:lpstr>
      <vt:lpstr>NivSurveiller</vt:lpstr>
      <vt:lpstr>NivUrgent</vt:lpstr>
      <vt:lpstr>SeuilPreparer</vt:lpstr>
      <vt:lpstr>SeuilSurveiller</vt:lpstr>
      <vt:lpstr>SeuilUrgent</vt:lpstr>
      <vt:lpstr>st_perim</vt:lpstr>
      <vt:lpstr>st_statut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cp:lastModifiedBy>
  <dcterms:created xsi:type="dcterms:W3CDTF">2026-10-15T18:27:20Z</dcterms:created>
  <dcterms:modified xsi:type="dcterms:W3CDTF">2026-10-15T19:24:12Z</dcterms:modified>
</cp:coreProperties>
</file>